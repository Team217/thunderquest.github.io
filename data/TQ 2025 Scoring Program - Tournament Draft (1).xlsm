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Downloads\bioglow-scores (1)\bioglow-scores\data\"/>
    </mc:Choice>
  </mc:AlternateContent>
  <xr:revisionPtr revIDLastSave="0" documentId="13_ncr:1_{0D2BEF5E-3194-4E27-97B3-A564C3480376}" xr6:coauthVersionLast="47" xr6:coauthVersionMax="47" xr10:uidLastSave="{00000000-0000-0000-0000-000000000000}"/>
  <bookViews>
    <workbookView xWindow="38970" yWindow="4125" windowWidth="34905" windowHeight="15435" tabRatio="761" activeTab="5" xr2:uid="{00000000-000D-0000-FFFF-FFFF00000000}"/>
  </bookViews>
  <sheets>
    <sheet name="Teams" sheetId="2" r:id="rId1"/>
    <sheet name="2018 Score Calculator" sheetId="47" r:id="rId2"/>
    <sheet name="Robot Score Ranking" sheetId="35" r:id="rId3"/>
    <sheet name="Live Standings" sheetId="38" r:id="rId4"/>
    <sheet name="Elimination Round Brackets" sheetId="36" r:id="rId5"/>
    <sheet name="Team Database" sheetId="32" r:id="rId6"/>
  </sheets>
  <definedNames>
    <definedName name="_xlnm._FilterDatabase" localSheetId="5" hidden="1">'Team Database'!$B$4:$I$62</definedName>
    <definedName name="_xlnm._FilterDatabase" localSheetId="0" hidden="1">Teams!$B$2:$L$29</definedName>
    <definedName name="B">#REF!</definedName>
    <definedName name="FitScreenRange">#REF!</definedName>
    <definedName name="Live_Rank">'Robot Score Ranking'!$A$7:$C$58</definedName>
    <definedName name="PerformanceData">'Team Database'!$B$8:$G$62</definedName>
    <definedName name="_xlnm.Print_Area" localSheetId="4">'Elimination Round Brackets'!$A$23:$AR$64</definedName>
    <definedName name="_xlnm.Print_Area" localSheetId="3">'Live Standings'!$A$4:$J$47</definedName>
    <definedName name="TeamRawData">'Team Database'!$B$8:$I$62</definedName>
    <definedName name="Total_Score" localSheetId="1">'2018 Score Calculator'!$AI$56</definedName>
    <definedName name="Total_Score">#REF!</definedName>
    <definedName name="TrueFalseRange" localSheetId="1">'2018 Score Calculator'!$AJ$15:$AJ$53</definedName>
    <definedName name="TrueFalseRange">#REF!</definedName>
    <definedName name="TrueFalseRange2" localSheetId="1">#REF!</definedName>
    <definedName name="TrueFalseRange2">#REF!</definedName>
  </definedNames>
  <calcPr calcId="181029"/>
</workbook>
</file>

<file path=xl/calcChain.xml><?xml version="1.0" encoding="utf-8"?>
<calcChain xmlns="http://schemas.openxmlformats.org/spreadsheetml/2006/main">
  <c r="C38" i="32" l="1"/>
  <c r="B8" i="32" l="1"/>
  <c r="B9" i="32"/>
  <c r="B10" i="32"/>
  <c r="B11" i="32"/>
  <c r="B12" i="32"/>
  <c r="B13" i="32"/>
  <c r="B14" i="32"/>
  <c r="B15" i="32"/>
  <c r="B16" i="32"/>
  <c r="B17" i="32"/>
  <c r="B18" i="32"/>
  <c r="B19" i="32"/>
  <c r="B20" i="32"/>
  <c r="B21" i="32"/>
  <c r="B22" i="32"/>
  <c r="B23" i="32"/>
  <c r="B24" i="32"/>
  <c r="B25" i="32"/>
  <c r="B26" i="32"/>
  <c r="B27" i="32"/>
  <c r="B28" i="32"/>
  <c r="B29" i="32"/>
  <c r="B30" i="32"/>
  <c r="B31" i="32"/>
  <c r="B32" i="32"/>
  <c r="B33" i="32"/>
  <c r="B34" i="32"/>
  <c r="B35" i="32"/>
  <c r="B36" i="32"/>
  <c r="B37" i="32"/>
  <c r="B38" i="32"/>
  <c r="B39" i="32"/>
  <c r="B40" i="32"/>
  <c r="B41" i="32"/>
  <c r="B42" i="32"/>
  <c r="B43" i="32"/>
  <c r="B44" i="32"/>
  <c r="B45" i="32"/>
  <c r="B46" i="32"/>
  <c r="B47" i="32"/>
  <c r="B48" i="32"/>
  <c r="B49" i="32"/>
  <c r="B50" i="32"/>
  <c r="B51" i="32"/>
  <c r="B52" i="32"/>
  <c r="B53" i="32"/>
  <c r="B54" i="32"/>
  <c r="B55" i="32"/>
  <c r="AK69" i="47"/>
  <c r="AL68" i="47"/>
  <c r="AP65" i="47"/>
  <c r="AK55" i="47"/>
  <c r="AJ55" i="47"/>
  <c r="AK68" i="47" s="1"/>
  <c r="BE53" i="47"/>
  <c r="AL45" i="47"/>
  <c r="BC42" i="47"/>
  <c r="I36" i="47" s="1"/>
  <c r="AY42" i="47"/>
  <c r="AX42" i="47"/>
  <c r="AW42" i="47"/>
  <c r="AV42" i="47"/>
  <c r="AU42" i="47"/>
  <c r="AT42" i="47"/>
  <c r="BC41" i="47"/>
  <c r="I34" i="47" s="1"/>
  <c r="AV41" i="47"/>
  <c r="AU41" i="47"/>
  <c r="AT41" i="47"/>
  <c r="BC40" i="47"/>
  <c r="I33" i="47" s="1"/>
  <c r="BC39" i="47"/>
  <c r="I31" i="47" s="1"/>
  <c r="AU39" i="47"/>
  <c r="AT39" i="47"/>
  <c r="BE39" i="47" s="1"/>
  <c r="AI39" i="47" s="1"/>
  <c r="BC38" i="47"/>
  <c r="I30" i="47" s="1"/>
  <c r="AU38" i="47"/>
  <c r="AT38" i="47"/>
  <c r="BE38" i="47" s="1"/>
  <c r="AI38" i="47" s="1"/>
  <c r="BC37" i="47"/>
  <c r="I27" i="47" s="1"/>
  <c r="AV37" i="47"/>
  <c r="AU37" i="47"/>
  <c r="AT37" i="47"/>
  <c r="BC36" i="47"/>
  <c r="I25" i="47" s="1"/>
  <c r="AV36" i="47"/>
  <c r="AU36" i="47"/>
  <c r="AT36" i="47"/>
  <c r="BC35" i="47"/>
  <c r="I23" i="47" s="1"/>
  <c r="AI35" i="47"/>
  <c r="BC34" i="47"/>
  <c r="I21" i="47" s="1"/>
  <c r="AI34" i="47"/>
  <c r="BC33" i="47"/>
  <c r="I19" i="47" s="1"/>
  <c r="AI33" i="47"/>
  <c r="BC32" i="47"/>
  <c r="I17" i="47" s="1"/>
  <c r="AV32" i="47"/>
  <c r="AU32" i="47"/>
  <c r="AT32" i="47"/>
  <c r="BC31" i="47"/>
  <c r="I15" i="47" s="1"/>
  <c r="AU31" i="47"/>
  <c r="AT31" i="47"/>
  <c r="BE31" i="47" s="1"/>
  <c r="AI31" i="47" s="1"/>
  <c r="BC30" i="47"/>
  <c r="C37" i="47" s="1"/>
  <c r="AI30" i="47"/>
  <c r="BC29" i="47"/>
  <c r="C36" i="47" s="1"/>
  <c r="AI29" i="47"/>
  <c r="BC28" i="47"/>
  <c r="C35" i="47" s="1"/>
  <c r="AI28" i="47"/>
  <c r="BC27" i="47"/>
  <c r="C32" i="47" s="1"/>
  <c r="AI27" i="47"/>
  <c r="BC26" i="47"/>
  <c r="C31" i="47" s="1"/>
  <c r="AI26" i="47"/>
  <c r="BC25" i="47"/>
  <c r="C30" i="47" s="1"/>
  <c r="AI25" i="47"/>
  <c r="BC24" i="47"/>
  <c r="C29" i="47" s="1"/>
  <c r="AI24" i="47"/>
  <c r="BC23" i="47"/>
  <c r="C27" i="47" s="1"/>
  <c r="AI23" i="47"/>
  <c r="BC22" i="47"/>
  <c r="C26" i="47" s="1"/>
  <c r="BC21" i="47"/>
  <c r="C24" i="47" s="1"/>
  <c r="AI21" i="47"/>
  <c r="BC20" i="47"/>
  <c r="C23" i="47" s="1"/>
  <c r="AI20" i="47"/>
  <c r="BC19" i="47"/>
  <c r="C21" i="47" s="1"/>
  <c r="AI19" i="47"/>
  <c r="BC18" i="47"/>
  <c r="C20" i="47" s="1"/>
  <c r="AI18" i="47"/>
  <c r="BC17" i="47"/>
  <c r="C18" i="47" s="1"/>
  <c r="AI17" i="47"/>
  <c r="BC16" i="47"/>
  <c r="C17" i="47" s="1"/>
  <c r="AI16" i="47"/>
  <c r="BC15" i="47"/>
  <c r="AI15" i="47"/>
  <c r="AL9" i="47"/>
  <c r="AM9" i="47" s="1"/>
  <c r="AN9" i="47" s="1"/>
  <c r="AO9" i="47" s="1"/>
  <c r="AP9" i="47" s="1"/>
  <c r="AQ9" i="47" s="1"/>
  <c r="AT9" i="47" s="1"/>
  <c r="AU9" i="47" s="1"/>
  <c r="F43" i="38" l="1"/>
  <c r="BE37" i="47"/>
  <c r="AI37" i="47" s="1"/>
  <c r="BE42" i="47"/>
  <c r="AI42" i="47" s="1"/>
  <c r="BE41" i="47"/>
  <c r="AI41" i="47" s="1"/>
  <c r="BE36" i="47"/>
  <c r="AI36" i="47" s="1"/>
  <c r="BE32" i="47"/>
  <c r="AI32" i="47" s="1"/>
  <c r="AP66" i="47"/>
  <c r="AK70" i="47"/>
  <c r="AK71" i="47" s="1"/>
  <c r="AP64" i="47"/>
  <c r="C16" i="47"/>
  <c r="AI56" i="47" l="1"/>
  <c r="AK67" i="47" s="1"/>
  <c r="AK73" i="47" s="1"/>
  <c r="AJ61" i="47" l="1"/>
  <c r="AJ62" i="47"/>
  <c r="AP70" i="47"/>
  <c r="N34" i="47" s="1"/>
  <c r="C22" i="32"/>
  <c r="H39" i="32" l="1"/>
  <c r="C62" i="32" l="1"/>
  <c r="B62" i="32"/>
  <c r="H62" i="32" l="1"/>
  <c r="H61" i="32"/>
  <c r="C61" i="32"/>
  <c r="B61" i="32"/>
  <c r="H60" i="32"/>
  <c r="C60" i="32"/>
  <c r="B60" i="32"/>
  <c r="H59" i="32"/>
  <c r="C59" i="32"/>
  <c r="B59" i="32"/>
  <c r="H58" i="32"/>
  <c r="C58" i="32"/>
  <c r="B58" i="32"/>
  <c r="H57" i="32"/>
  <c r="C57" i="32"/>
  <c r="B57" i="32"/>
  <c r="H56" i="32"/>
  <c r="C56" i="32"/>
  <c r="B56" i="32"/>
  <c r="H55" i="32"/>
  <c r="C55" i="32"/>
  <c r="H54" i="32"/>
  <c r="C54" i="32"/>
  <c r="H53" i="32"/>
  <c r="C53" i="32"/>
  <c r="H52" i="32"/>
  <c r="C52" i="32"/>
  <c r="H51" i="32"/>
  <c r="C51" i="32"/>
  <c r="H50" i="32"/>
  <c r="C50" i="32"/>
  <c r="H49" i="32"/>
  <c r="C49" i="32"/>
  <c r="F9" i="35" l="1"/>
  <c r="F13" i="35"/>
  <c r="F24" i="35"/>
  <c r="H20" i="35"/>
  <c r="F14" i="35"/>
  <c r="G9" i="35"/>
  <c r="H9" i="35"/>
  <c r="G24" i="35"/>
  <c r="H24" i="35"/>
  <c r="E14" i="35"/>
  <c r="E13" i="35"/>
  <c r="H15" i="35"/>
  <c r="F26" i="35"/>
  <c r="H14" i="35"/>
  <c r="G13" i="35"/>
  <c r="E15" i="35"/>
  <c r="H13" i="35"/>
  <c r="G26" i="35"/>
  <c r="F20" i="35"/>
  <c r="G15" i="35"/>
  <c r="E9" i="35"/>
  <c r="E24" i="35"/>
  <c r="E26" i="35"/>
  <c r="G14" i="35"/>
  <c r="E20" i="35"/>
  <c r="F15" i="35"/>
  <c r="G20" i="35"/>
  <c r="H26" i="35"/>
  <c r="E39" i="35"/>
  <c r="G35" i="35"/>
  <c r="E42" i="35"/>
  <c r="F38" i="35"/>
  <c r="G41" i="35"/>
  <c r="F34" i="35"/>
  <c r="G34" i="35"/>
  <c r="E38" i="35"/>
  <c r="F41" i="35"/>
  <c r="F42" i="35"/>
  <c r="G44" i="35"/>
  <c r="H42" i="35"/>
  <c r="G39" i="35"/>
  <c r="H39" i="35"/>
  <c r="E41" i="35"/>
  <c r="F35" i="35"/>
  <c r="E34" i="35"/>
  <c r="G38" i="35"/>
  <c r="H34" i="35"/>
  <c r="G42" i="35"/>
  <c r="E44" i="35"/>
  <c r="H38" i="35"/>
  <c r="E35" i="35"/>
  <c r="H35" i="35"/>
  <c r="H41" i="35"/>
  <c r="F44" i="35"/>
  <c r="F39" i="35"/>
  <c r="H44" i="35"/>
  <c r="F53" i="35"/>
  <c r="E53" i="35"/>
  <c r="F47" i="35"/>
  <c r="H53" i="35"/>
  <c r="G53" i="35"/>
  <c r="E47" i="35"/>
  <c r="G47" i="35"/>
  <c r="H47" i="35"/>
  <c r="D42" i="35"/>
  <c r="H47" i="32"/>
  <c r="H48" i="32"/>
  <c r="H9" i="32"/>
  <c r="H10" i="32"/>
  <c r="H11" i="32"/>
  <c r="H12" i="32"/>
  <c r="H13" i="32"/>
  <c r="H14" i="32"/>
  <c r="H15" i="32"/>
  <c r="H16" i="32"/>
  <c r="H17" i="32"/>
  <c r="H18" i="32"/>
  <c r="H19" i="32"/>
  <c r="H20" i="32"/>
  <c r="H21" i="32"/>
  <c r="H22" i="32"/>
  <c r="H23" i="32"/>
  <c r="H24" i="32"/>
  <c r="H25" i="32"/>
  <c r="H26" i="32"/>
  <c r="H27" i="32"/>
  <c r="H28" i="32"/>
  <c r="H29" i="32"/>
  <c r="H30" i="32"/>
  <c r="H31" i="32"/>
  <c r="H32" i="32"/>
  <c r="H33" i="32"/>
  <c r="H34" i="32"/>
  <c r="H35" i="32"/>
  <c r="K15" i="38" s="1"/>
  <c r="H36" i="32"/>
  <c r="K19" i="38" s="1"/>
  <c r="H37" i="32"/>
  <c r="K25" i="38" s="1"/>
  <c r="H38" i="32"/>
  <c r="K35" i="38" s="1"/>
  <c r="K23" i="38"/>
  <c r="H40" i="32"/>
  <c r="H41" i="32"/>
  <c r="H42" i="32"/>
  <c r="H43" i="32"/>
  <c r="H44" i="32"/>
  <c r="H45" i="32"/>
  <c r="H46" i="32"/>
  <c r="H8" i="32"/>
  <c r="C44" i="32"/>
  <c r="C45" i="32"/>
  <c r="D53" i="35" s="1"/>
  <c r="C46" i="32"/>
  <c r="C47" i="32"/>
  <c r="D39" i="35" s="1"/>
  <c r="C48" i="32"/>
  <c r="C8" i="32"/>
  <c r="C9" i="32"/>
  <c r="C10" i="32"/>
  <c r="C11" i="32"/>
  <c r="C12" i="32"/>
  <c r="C13" i="32"/>
  <c r="C14" i="32"/>
  <c r="C15" i="32"/>
  <c r="C16" i="32"/>
  <c r="C17" i="32"/>
  <c r="C18" i="32"/>
  <c r="C19" i="32"/>
  <c r="C20" i="32"/>
  <c r="C21" i="32"/>
  <c r="C23" i="32"/>
  <c r="C24" i="32"/>
  <c r="C25" i="32"/>
  <c r="C26" i="32"/>
  <c r="C27" i="32"/>
  <c r="C28" i="32"/>
  <c r="C29" i="32"/>
  <c r="C30" i="32"/>
  <c r="B6" i="38"/>
  <c r="C31" i="32"/>
  <c r="C32" i="32"/>
  <c r="C33" i="32"/>
  <c r="C34" i="32"/>
  <c r="C35" i="32"/>
  <c r="D38" i="35" s="1"/>
  <c r="C36" i="32"/>
  <c r="C37" i="32"/>
  <c r="C39" i="32"/>
  <c r="C40" i="32"/>
  <c r="C41" i="32"/>
  <c r="C42" i="32"/>
  <c r="C43" i="32"/>
  <c r="D35" i="35" s="1"/>
  <c r="K6" i="38"/>
  <c r="K21" i="38"/>
  <c r="B5" i="38"/>
  <c r="B12" i="38"/>
  <c r="B9" i="38"/>
  <c r="B26" i="38"/>
  <c r="B19" i="38"/>
  <c r="B20" i="38"/>
  <c r="B32" i="35"/>
  <c r="B13" i="38"/>
  <c r="B31" i="38"/>
  <c r="B17" i="38"/>
  <c r="B10" i="38"/>
  <c r="B15" i="38"/>
  <c r="B28" i="38"/>
  <c r="B25" i="38"/>
  <c r="B16" i="38"/>
  <c r="B8" i="38"/>
  <c r="B30" i="38"/>
  <c r="B7" i="38"/>
  <c r="B33" i="38"/>
  <c r="B31" i="35"/>
  <c r="B35" i="38"/>
  <c r="B11" i="38"/>
  <c r="B36" i="38"/>
  <c r="B29" i="38"/>
  <c r="B14" i="38"/>
  <c r="B23" i="38"/>
  <c r="B21" i="38"/>
  <c r="B27" i="38"/>
  <c r="B24" i="38"/>
  <c r="B33" i="35"/>
  <c r="B32" i="38"/>
  <c r="B34" i="38"/>
  <c r="B18" i="38"/>
  <c r="B22" i="38"/>
  <c r="J20" i="35" l="1"/>
  <c r="I20" i="35"/>
  <c r="J26" i="35"/>
  <c r="I26" i="35"/>
  <c r="I24" i="35"/>
  <c r="J24" i="35"/>
  <c r="J15" i="35"/>
  <c r="I15" i="35"/>
  <c r="J13" i="35"/>
  <c r="I13" i="35"/>
  <c r="I14" i="35"/>
  <c r="J14" i="35"/>
  <c r="J9" i="35"/>
  <c r="I9" i="35"/>
  <c r="K5" i="38"/>
  <c r="I23" i="32"/>
  <c r="I11" i="32"/>
  <c r="K18" i="38"/>
  <c r="I34" i="32"/>
  <c r="K34" i="38"/>
  <c r="I22" i="32"/>
  <c r="K9" i="38"/>
  <c r="I10" i="32"/>
  <c r="J44" i="35"/>
  <c r="I44" i="35"/>
  <c r="K36" i="38"/>
  <c r="I33" i="32"/>
  <c r="K12" i="38"/>
  <c r="I21" i="32"/>
  <c r="K30" i="38"/>
  <c r="I9" i="32"/>
  <c r="I38" i="35"/>
  <c r="J38" i="35"/>
  <c r="K22" i="38"/>
  <c r="I25" i="32"/>
  <c r="I8" i="32"/>
  <c r="K29" i="38"/>
  <c r="I32" i="32"/>
  <c r="K7" i="38"/>
  <c r="I20" i="32"/>
  <c r="K33" i="38"/>
  <c r="I19" i="32"/>
  <c r="I18" i="32"/>
  <c r="J34" i="35"/>
  <c r="I34" i="35"/>
  <c r="K14" i="38"/>
  <c r="I24" i="32"/>
  <c r="K32" i="38"/>
  <c r="I12" i="32"/>
  <c r="J35" i="35"/>
  <c r="I35" i="35"/>
  <c r="K27" i="38"/>
  <c r="I31" i="32"/>
  <c r="K24" i="38"/>
  <c r="I30" i="32"/>
  <c r="K13" i="38"/>
  <c r="I29" i="32"/>
  <c r="K17" i="38"/>
  <c r="I17" i="32"/>
  <c r="K20" i="38"/>
  <c r="I13" i="32"/>
  <c r="K31" i="38"/>
  <c r="I28" i="32"/>
  <c r="K26" i="38"/>
  <c r="I16" i="32"/>
  <c r="I41" i="35"/>
  <c r="J41" i="35"/>
  <c r="I42" i="35"/>
  <c r="J42" i="35"/>
  <c r="K10" i="38"/>
  <c r="I27" i="32"/>
  <c r="K8" i="38"/>
  <c r="I15" i="32"/>
  <c r="K28" i="38"/>
  <c r="I26" i="32"/>
  <c r="K11" i="38"/>
  <c r="I14" i="32"/>
  <c r="I39" i="35"/>
  <c r="J39" i="35"/>
  <c r="J47" i="35"/>
  <c r="I47" i="35"/>
  <c r="I53" i="35"/>
  <c r="J53" i="35"/>
  <c r="D34" i="35"/>
  <c r="D41" i="35"/>
  <c r="D44" i="35"/>
  <c r="D47" i="35"/>
  <c r="D43" i="35"/>
  <c r="D54" i="35"/>
  <c r="D49" i="35"/>
  <c r="D40" i="35"/>
  <c r="D48" i="35"/>
  <c r="D50" i="35"/>
  <c r="D52" i="35"/>
  <c r="D36" i="35"/>
  <c r="I39" i="32"/>
  <c r="E16" i="35"/>
  <c r="E17" i="35"/>
  <c r="H50" i="38"/>
  <c r="G44" i="38"/>
  <c r="G16" i="38"/>
  <c r="F42" i="38"/>
  <c r="E44" i="38"/>
  <c r="E16" i="38"/>
  <c r="H44" i="38"/>
  <c r="H16" i="38"/>
  <c r="G32" i="38"/>
  <c r="D32" i="38"/>
  <c r="F50" i="38"/>
  <c r="E32" i="38"/>
  <c r="D50" i="38"/>
  <c r="H32" i="38"/>
  <c r="D44" i="38"/>
  <c r="G42" i="38"/>
  <c r="F44" i="38"/>
  <c r="F16" i="38"/>
  <c r="E42" i="38"/>
  <c r="H42" i="38"/>
  <c r="D16" i="38"/>
  <c r="G50" i="38"/>
  <c r="F32" i="38"/>
  <c r="D42" i="38"/>
  <c r="E50" i="38"/>
  <c r="E45" i="35"/>
  <c r="I61" i="32"/>
  <c r="I60" i="32"/>
  <c r="I59" i="32"/>
  <c r="I55" i="32"/>
  <c r="I51" i="32"/>
  <c r="I47" i="32"/>
  <c r="I43" i="32"/>
  <c r="I35" i="32"/>
  <c r="I58" i="32"/>
  <c r="I54" i="32"/>
  <c r="I50" i="32"/>
  <c r="I46" i="32"/>
  <c r="I42" i="32"/>
  <c r="I38" i="32"/>
  <c r="I57" i="32"/>
  <c r="I53" i="32"/>
  <c r="I49" i="32"/>
  <c r="I45" i="32"/>
  <c r="I41" i="32"/>
  <c r="I37" i="32"/>
  <c r="I56" i="32"/>
  <c r="I52" i="32"/>
  <c r="I48" i="32"/>
  <c r="I44" i="32"/>
  <c r="I40" i="32"/>
  <c r="I36" i="32"/>
  <c r="I62" i="32"/>
  <c r="K16" i="38"/>
  <c r="H20" i="38"/>
  <c r="D20" i="38"/>
  <c r="H6" i="38"/>
  <c r="D6" i="38"/>
  <c r="E35" i="38"/>
  <c r="F34" i="38"/>
  <c r="G25" i="38"/>
  <c r="D31" i="38"/>
  <c r="E29" i="38"/>
  <c r="G12" i="38"/>
  <c r="D11" i="38"/>
  <c r="F5" i="38"/>
  <c r="H58" i="35"/>
  <c r="F57" i="35"/>
  <c r="H12" i="35"/>
  <c r="F52" i="35"/>
  <c r="G45" i="35"/>
  <c r="G20" i="38"/>
  <c r="E43" i="38"/>
  <c r="G6" i="38"/>
  <c r="H35" i="38"/>
  <c r="D35" i="38"/>
  <c r="E34" i="38"/>
  <c r="F25" i="38"/>
  <c r="G31" i="38"/>
  <c r="H29" i="38"/>
  <c r="D29" i="38"/>
  <c r="E46" i="38"/>
  <c r="F12" i="38"/>
  <c r="G11" i="38"/>
  <c r="H33" i="38"/>
  <c r="D33" i="38"/>
  <c r="E5" i="38"/>
  <c r="F51" i="35"/>
  <c r="G58" i="35"/>
  <c r="H8" i="35"/>
  <c r="E57" i="35"/>
  <c r="F20" i="38"/>
  <c r="H43" i="38"/>
  <c r="D43" i="38"/>
  <c r="F6" i="38"/>
  <c r="G35" i="38"/>
  <c r="H34" i="38"/>
  <c r="D34" i="38"/>
  <c r="E25" i="38"/>
  <c r="F31" i="38"/>
  <c r="G29" i="38"/>
  <c r="H46" i="38"/>
  <c r="D46" i="38"/>
  <c r="E12" i="38"/>
  <c r="F11" i="38"/>
  <c r="G33" i="38"/>
  <c r="H5" i="38"/>
  <c r="D5" i="38"/>
  <c r="E51" i="35"/>
  <c r="F58" i="35"/>
  <c r="G8" i="35"/>
  <c r="H57" i="35"/>
  <c r="D57" i="35"/>
  <c r="F12" i="35"/>
  <c r="H52" i="35"/>
  <c r="F25" i="35"/>
  <c r="E20" i="38"/>
  <c r="G43" i="38"/>
  <c r="E6" i="38"/>
  <c r="F35" i="38"/>
  <c r="G34" i="38"/>
  <c r="H25" i="38"/>
  <c r="D25" i="38"/>
  <c r="E31" i="38"/>
  <c r="F29" i="38"/>
  <c r="G46" i="38"/>
  <c r="H12" i="38"/>
  <c r="D12" i="38"/>
  <c r="E11" i="38"/>
  <c r="F33" i="38"/>
  <c r="G5" i="38"/>
  <c r="H51" i="35"/>
  <c r="D51" i="35"/>
  <c r="E58" i="35"/>
  <c r="F8" i="35"/>
  <c r="G57" i="35"/>
  <c r="E12" i="35"/>
  <c r="G52" i="35"/>
  <c r="H45" i="35"/>
  <c r="D45" i="35"/>
  <c r="E25" i="35"/>
  <c r="H31" i="38"/>
  <c r="F46" i="38"/>
  <c r="H11" i="38"/>
  <c r="E33" i="38"/>
  <c r="G51" i="35"/>
  <c r="D58" i="35"/>
  <c r="E8" i="35"/>
  <c r="F45" i="35"/>
  <c r="H25" i="35"/>
  <c r="E52" i="35"/>
  <c r="G25" i="35"/>
  <c r="G12" i="35"/>
  <c r="F38" i="38"/>
  <c r="E10" i="35"/>
  <c r="G15" i="38"/>
  <c r="E15" i="38"/>
  <c r="D15" i="38"/>
  <c r="E24" i="38"/>
  <c r="H49" i="38"/>
  <c r="F15" i="38"/>
  <c r="H41" i="38"/>
  <c r="D14" i="38"/>
  <c r="H15" i="38"/>
  <c r="D24" i="38"/>
  <c r="H54" i="35"/>
  <c r="E49" i="38"/>
  <c r="H17" i="38"/>
  <c r="F26" i="38"/>
  <c r="F43" i="35"/>
  <c r="F45" i="38"/>
  <c r="D49" i="38"/>
  <c r="E45" i="38"/>
  <c r="H19" i="38"/>
  <c r="E38" i="38"/>
  <c r="E49" i="35"/>
  <c r="E26" i="38"/>
  <c r="D10" i="38"/>
  <c r="F19" i="35"/>
  <c r="F11" i="35"/>
  <c r="E52" i="38"/>
  <c r="G45" i="38"/>
  <c r="G38" i="38"/>
  <c r="E30" i="38"/>
  <c r="F56" i="35"/>
  <c r="F36" i="38"/>
  <c r="F46" i="35"/>
  <c r="H36" i="35"/>
  <c r="F52" i="38"/>
  <c r="G17" i="38"/>
  <c r="G21" i="38"/>
  <c r="D37" i="35"/>
  <c r="D56" i="35"/>
  <c r="F36" i="35"/>
  <c r="G43" i="35"/>
  <c r="H50" i="35"/>
  <c r="H49" i="35"/>
  <c r="H55" i="35"/>
  <c r="H28" i="35"/>
  <c r="G37" i="35"/>
  <c r="G27" i="35"/>
  <c r="G23" i="35"/>
  <c r="G56" i="35"/>
  <c r="D40" i="38"/>
  <c r="D28" i="38"/>
  <c r="G9" i="38"/>
  <c r="G8" i="38"/>
  <c r="H24" i="38"/>
  <c r="H51" i="38"/>
  <c r="H18" i="38"/>
  <c r="H40" i="38"/>
  <c r="G14" i="38"/>
  <c r="E13" i="38"/>
  <c r="D55" i="35"/>
  <c r="G36" i="35"/>
  <c r="G40" i="35"/>
  <c r="G11" i="35"/>
  <c r="H21" i="35"/>
  <c r="H10" i="35"/>
  <c r="G29" i="35"/>
  <c r="G54" i="35"/>
  <c r="G46" i="35"/>
  <c r="G19" i="35"/>
  <c r="G48" i="35"/>
  <c r="G18" i="35"/>
  <c r="D37" i="38"/>
  <c r="D23" i="38"/>
  <c r="G30" i="38"/>
  <c r="F13" i="38"/>
  <c r="F28" i="38"/>
  <c r="G16" i="35"/>
  <c r="E43" i="35"/>
  <c r="F50" i="35"/>
  <c r="F49" i="35"/>
  <c r="F55" i="35"/>
  <c r="F28" i="35"/>
  <c r="E37" i="35"/>
  <c r="E27" i="35"/>
  <c r="E23" i="35"/>
  <c r="E56" i="35"/>
  <c r="D38" i="38"/>
  <c r="D51" i="38"/>
  <c r="D45" i="38"/>
  <c r="D13" i="38"/>
  <c r="E9" i="38"/>
  <c r="E8" i="38"/>
  <c r="F24" i="38"/>
  <c r="F51" i="38"/>
  <c r="F18" i="38"/>
  <c r="F40" i="38"/>
  <c r="E14" i="38"/>
  <c r="F17" i="38"/>
  <c r="E36" i="35"/>
  <c r="E40" i="35"/>
  <c r="E11" i="35"/>
  <c r="F21" i="35"/>
  <c r="F10" i="35"/>
  <c r="E29" i="35"/>
  <c r="E54" i="35"/>
  <c r="E46" i="35"/>
  <c r="E19" i="35"/>
  <c r="E48" i="35"/>
  <c r="E18" i="35"/>
  <c r="D9" i="38"/>
  <c r="H52" i="38"/>
  <c r="H13" i="38"/>
  <c r="H28" i="38"/>
  <c r="H11" i="35"/>
  <c r="G21" i="35"/>
  <c r="G10" i="35"/>
  <c r="H29" i="35"/>
  <c r="H46" i="35"/>
  <c r="H19" i="35"/>
  <c r="H48" i="35"/>
  <c r="H18" i="35"/>
  <c r="D30" i="38"/>
  <c r="D36" i="38"/>
  <c r="D18" i="38"/>
  <c r="H30" i="38"/>
  <c r="H38" i="38"/>
  <c r="H36" i="38"/>
  <c r="G37" i="38"/>
  <c r="G19" i="38"/>
  <c r="G26" i="38"/>
  <c r="G23" i="38"/>
  <c r="G41" i="38"/>
  <c r="H45" i="38"/>
  <c r="H10" i="38"/>
  <c r="G28" i="38"/>
  <c r="G52" i="38"/>
  <c r="D46" i="35"/>
  <c r="H16" i="35"/>
  <c r="H43" i="35"/>
  <c r="G50" i="35"/>
  <c r="G49" i="35"/>
  <c r="G55" i="35"/>
  <c r="G28" i="35"/>
  <c r="H37" i="35"/>
  <c r="H27" i="35"/>
  <c r="H23" i="35"/>
  <c r="H56" i="35"/>
  <c r="D8" i="38"/>
  <c r="D26" i="38"/>
  <c r="D21" i="38"/>
  <c r="H9" i="38"/>
  <c r="H8" i="38"/>
  <c r="G24" i="38"/>
  <c r="G51" i="38"/>
  <c r="G18" i="38"/>
  <c r="G40" i="38"/>
  <c r="H14" i="38"/>
  <c r="G13" i="38"/>
  <c r="E17" i="38"/>
  <c r="E21" i="35"/>
  <c r="F48" i="35"/>
  <c r="E37" i="38"/>
  <c r="E23" i="38"/>
  <c r="F16" i="35"/>
  <c r="E55" i="35"/>
  <c r="F27" i="35"/>
  <c r="D19" i="38"/>
  <c r="H37" i="38"/>
  <c r="F19" i="38"/>
  <c r="E18" i="38"/>
  <c r="H23" i="38"/>
  <c r="F41" i="38"/>
  <c r="F14" i="38"/>
  <c r="G10" i="38"/>
  <c r="F21" i="38"/>
  <c r="F49" i="38"/>
  <c r="E21" i="38"/>
  <c r="H40" i="35"/>
  <c r="F29" i="35"/>
  <c r="F54" i="35"/>
  <c r="F18" i="35"/>
  <c r="E19" i="38"/>
  <c r="E41" i="38"/>
  <c r="F10" i="38"/>
  <c r="E50" i="35"/>
  <c r="F23" i="35"/>
  <c r="D17" i="38"/>
  <c r="F8" i="38"/>
  <c r="G36" i="38"/>
  <c r="F37" i="38"/>
  <c r="E51" i="38"/>
  <c r="F23" i="38"/>
  <c r="E10" i="38"/>
  <c r="E28" i="38"/>
  <c r="E40" i="38"/>
  <c r="H26" i="38"/>
  <c r="E36" i="38"/>
  <c r="F9" i="38"/>
  <c r="D41" i="38"/>
  <c r="F37" i="35"/>
  <c r="E28" i="35"/>
  <c r="H21" i="38"/>
  <c r="F30" i="38"/>
  <c r="D52" i="38"/>
  <c r="G17" i="35"/>
  <c r="E30" i="35"/>
  <c r="G27" i="38"/>
  <c r="G49" i="38"/>
  <c r="G30" i="35"/>
  <c r="E7" i="35"/>
  <c r="G7" i="35"/>
  <c r="E22" i="35"/>
  <c r="G22" i="35"/>
  <c r="F40" i="35"/>
  <c r="E7" i="38"/>
  <c r="G7" i="38"/>
  <c r="D39" i="38"/>
  <c r="F39" i="38"/>
  <c r="H39" i="38"/>
  <c r="E22" i="38"/>
  <c r="G22" i="38"/>
  <c r="D48" i="38"/>
  <c r="F48" i="38"/>
  <c r="H48" i="38"/>
  <c r="E47" i="38"/>
  <c r="G47" i="38"/>
  <c r="D27" i="38"/>
  <c r="F27" i="38"/>
  <c r="H27" i="38"/>
  <c r="F17" i="35"/>
  <c r="H17" i="35"/>
  <c r="F30" i="35"/>
  <c r="H30" i="35"/>
  <c r="F7" i="35"/>
  <c r="H7" i="35"/>
  <c r="F22" i="35"/>
  <c r="H22" i="35"/>
  <c r="D7" i="38"/>
  <c r="F7" i="38"/>
  <c r="H7" i="38"/>
  <c r="E39" i="38"/>
  <c r="G39" i="38"/>
  <c r="D22" i="38"/>
  <c r="F22" i="38"/>
  <c r="H22" i="38"/>
  <c r="E48" i="38"/>
  <c r="G48" i="38"/>
  <c r="D47" i="38"/>
  <c r="F47" i="38"/>
  <c r="H47" i="38"/>
  <c r="E27" i="38"/>
  <c r="I17" i="35" l="1"/>
  <c r="I32" i="38"/>
  <c r="J32" i="38"/>
  <c r="J42" i="38"/>
  <c r="I42" i="38"/>
  <c r="J16" i="38"/>
  <c r="I16" i="38"/>
  <c r="J50" i="38"/>
  <c r="I50" i="38"/>
  <c r="J44" i="38"/>
  <c r="I44" i="38"/>
  <c r="J55" i="35"/>
  <c r="J20" i="38"/>
  <c r="I20" i="38"/>
  <c r="J34" i="38"/>
  <c r="I34" i="38"/>
  <c r="I33" i="38"/>
  <c r="J33" i="38"/>
  <c r="J25" i="35"/>
  <c r="I25" i="35"/>
  <c r="J11" i="38"/>
  <c r="I11" i="38"/>
  <c r="I51" i="35"/>
  <c r="J51" i="35"/>
  <c r="J57" i="35"/>
  <c r="I57" i="35"/>
  <c r="J43" i="38"/>
  <c r="I43" i="38"/>
  <c r="J52" i="35"/>
  <c r="I52" i="35"/>
  <c r="J58" i="35"/>
  <c r="I58" i="35"/>
  <c r="I8" i="35"/>
  <c r="J8" i="35"/>
  <c r="J31" i="38"/>
  <c r="I31" i="38"/>
  <c r="I45" i="35"/>
  <c r="J45" i="35"/>
  <c r="I12" i="38"/>
  <c r="J12" i="38"/>
  <c r="J5" i="38"/>
  <c r="I5" i="38"/>
  <c r="J12" i="35"/>
  <c r="I12" i="35"/>
  <c r="J6" i="38"/>
  <c r="I6" i="38"/>
  <c r="I25" i="38"/>
  <c r="J25" i="38"/>
  <c r="J46" i="38"/>
  <c r="I46" i="38"/>
  <c r="I29" i="38"/>
  <c r="J29" i="38"/>
  <c r="I35" i="38"/>
  <c r="J35" i="38"/>
  <c r="I15" i="38"/>
  <c r="J15" i="38"/>
  <c r="I24" i="38"/>
  <c r="I45" i="38"/>
  <c r="J19" i="35"/>
  <c r="J50" i="35"/>
  <c r="I18" i="35"/>
  <c r="J54" i="35"/>
  <c r="I19" i="35"/>
  <c r="J17" i="35"/>
  <c r="J40" i="38"/>
  <c r="I49" i="38"/>
  <c r="J29" i="35"/>
  <c r="I10" i="35"/>
  <c r="I11" i="35"/>
  <c r="I56" i="35"/>
  <c r="J16" i="35"/>
  <c r="J28" i="35"/>
  <c r="J27" i="35"/>
  <c r="I30" i="38"/>
  <c r="J36" i="38"/>
  <c r="J18" i="38"/>
  <c r="J13" i="38"/>
  <c r="I40" i="38"/>
  <c r="J48" i="38"/>
  <c r="I7" i="35"/>
  <c r="I22" i="35"/>
  <c r="J37" i="35"/>
  <c r="I48" i="35"/>
  <c r="J46" i="35"/>
  <c r="J21" i="35"/>
  <c r="J49" i="35"/>
  <c r="J43" i="35"/>
  <c r="J28" i="38"/>
  <c r="J36" i="35"/>
  <c r="J52" i="38"/>
  <c r="I38" i="38"/>
  <c r="J11" i="35"/>
  <c r="J22" i="38"/>
  <c r="I30" i="35"/>
  <c r="J10" i="35"/>
  <c r="I22" i="38"/>
  <c r="J22" i="35"/>
  <c r="I18" i="38"/>
  <c r="I7" i="38"/>
  <c r="J49" i="38"/>
  <c r="I16" i="35"/>
  <c r="I46" i="35"/>
  <c r="J7" i="35"/>
  <c r="I36" i="38"/>
  <c r="I28" i="38"/>
  <c r="J24" i="38"/>
  <c r="I47" i="38"/>
  <c r="I48" i="38"/>
  <c r="J39" i="38"/>
  <c r="J27" i="38"/>
  <c r="J30" i="35"/>
  <c r="I28" i="35"/>
  <c r="I10" i="38"/>
  <c r="J40" i="35"/>
  <c r="I27" i="35"/>
  <c r="I51" i="38"/>
  <c r="J23" i="35"/>
  <c r="I27" i="38"/>
  <c r="I40" i="35"/>
  <c r="I21" i="35"/>
  <c r="J56" i="35"/>
  <c r="I54" i="35"/>
  <c r="I36" i="35"/>
  <c r="I13" i="38"/>
  <c r="J30" i="38"/>
  <c r="I14" i="38"/>
  <c r="J14" i="38"/>
  <c r="I37" i="35"/>
  <c r="J26" i="38"/>
  <c r="I26" i="38"/>
  <c r="J45" i="38"/>
  <c r="J10" i="38"/>
  <c r="J51" i="38"/>
  <c r="I50" i="35"/>
  <c r="I41" i="38"/>
  <c r="J41" i="38"/>
  <c r="I21" i="38"/>
  <c r="J21" i="38"/>
  <c r="I55" i="35"/>
  <c r="J23" i="38"/>
  <c r="I23" i="38"/>
  <c r="I29" i="35"/>
  <c r="I8" i="38"/>
  <c r="J8" i="38"/>
  <c r="I23" i="35"/>
  <c r="I43" i="35"/>
  <c r="J18" i="35"/>
  <c r="I52" i="38"/>
  <c r="J38" i="38"/>
  <c r="I19" i="38"/>
  <c r="J19" i="38"/>
  <c r="J37" i="38"/>
  <c r="I37" i="38"/>
  <c r="J17" i="38"/>
  <c r="I17" i="38"/>
  <c r="I9" i="38"/>
  <c r="J9" i="38"/>
  <c r="J48" i="35"/>
  <c r="I49" i="35"/>
  <c r="J47" i="38"/>
  <c r="J7" i="38"/>
  <c r="I39" i="38"/>
  <c r="E4" i="35" l="1"/>
  <c r="F4" i="35" s="1"/>
</calcChain>
</file>

<file path=xl/sharedStrings.xml><?xml version="1.0" encoding="utf-8"?>
<sst xmlns="http://schemas.openxmlformats.org/spreadsheetml/2006/main" count="396" uniqueCount="274">
  <si>
    <t>ThunderQuest Performance Rankings</t>
  </si>
  <si>
    <t>Maximum Score</t>
  </si>
  <si>
    <t>Division</t>
  </si>
  <si>
    <t>Average Score</t>
  </si>
  <si>
    <t>Division Winner</t>
  </si>
  <si>
    <t>Division Finals</t>
  </si>
  <si>
    <t>Division Semi-Finals</t>
  </si>
  <si>
    <t>Overall Winner</t>
  </si>
  <si>
    <t>Team Entry Number</t>
  </si>
  <si>
    <t>Team Number</t>
  </si>
  <si>
    <t>Quarter Final #1</t>
  </si>
  <si>
    <t>Quarter Final #2</t>
  </si>
  <si>
    <t>Quarter Final #3</t>
  </si>
  <si>
    <t>Quarter Final #4</t>
  </si>
  <si>
    <t>Semi Final #1</t>
  </si>
  <si>
    <t>Semi Final #2</t>
  </si>
  <si>
    <t>Overall Ranking</t>
  </si>
  <si>
    <t>Performance Award Winner</t>
  </si>
  <si>
    <t>Media
Release
Form</t>
  </si>
  <si>
    <t>Gave Team
Regisration
Package</t>
  </si>
  <si>
    <t>Team's School</t>
  </si>
  <si>
    <t>Team Pre-
Register</t>
  </si>
  <si>
    <t>Pre-order
food form</t>
  </si>
  <si>
    <t>Pre-order food
payment $$</t>
  </si>
  <si>
    <t>Team #</t>
  </si>
  <si>
    <t>Team Name</t>
  </si>
  <si>
    <t>Team</t>
  </si>
  <si>
    <t>Ranking</t>
  </si>
  <si>
    <t>Round</t>
  </si>
  <si>
    <t>Round 1</t>
  </si>
  <si>
    <t>Robot Performance</t>
  </si>
  <si>
    <t>Round 2</t>
  </si>
  <si>
    <t>Round 3</t>
  </si>
  <si>
    <t>Practice</t>
  </si>
  <si>
    <t>Practice Round</t>
  </si>
  <si>
    <t>Raw Performance</t>
  </si>
  <si>
    <t>Normalized Performance</t>
  </si>
  <si>
    <t>#1</t>
  </si>
  <si>
    <t>#16</t>
  </si>
  <si>
    <t>#2</t>
  </si>
  <si>
    <t>#15</t>
  </si>
  <si>
    <t>#3</t>
  </si>
  <si>
    <t>#14</t>
  </si>
  <si>
    <t>#4</t>
  </si>
  <si>
    <t>#13</t>
  </si>
  <si>
    <t>#8</t>
  </si>
  <si>
    <t>#9</t>
  </si>
  <si>
    <t>#7</t>
  </si>
  <si>
    <t>#10</t>
  </si>
  <si>
    <t>#6</t>
  </si>
  <si>
    <t>#11</t>
  </si>
  <si>
    <t>#5</t>
  </si>
  <si>
    <t>#12</t>
  </si>
  <si>
    <t>Round 1 Match 1</t>
  </si>
  <si>
    <t>Round 1 Match 2</t>
  </si>
  <si>
    <t>Round 1 Match 3</t>
  </si>
  <si>
    <t>Round 1 Match 4</t>
  </si>
  <si>
    <t>Round 1 Match 5</t>
  </si>
  <si>
    <t>Round 1 Match 6</t>
  </si>
  <si>
    <t>Round 1 Match 7</t>
  </si>
  <si>
    <t>Round 1 Match 8</t>
  </si>
  <si>
    <t>Row</t>
  </si>
  <si>
    <t>Yes</t>
  </si>
  <si>
    <t>Each</t>
  </si>
  <si>
    <t>score</t>
  </si>
  <si>
    <t>Total score</t>
  </si>
  <si>
    <t xml:space="preserve">check for </t>
  </si>
  <si>
    <t>missing input and give a visual</t>
  </si>
  <si>
    <t>mission</t>
  </si>
  <si>
    <t>Error Checking</t>
  </si>
  <si>
    <t>notes</t>
  </si>
  <si>
    <t>calculated score</t>
  </si>
  <si>
    <t>non engagement total</t>
  </si>
  <si>
    <t>percentage boost</t>
  </si>
  <si>
    <t>yellow lever</t>
  </si>
  <si>
    <t>total</t>
  </si>
  <si>
    <t>everything match?</t>
  </si>
  <si>
    <t>Registration
fee $50
cash</t>
  </si>
  <si>
    <t>Registration
fee $50
check</t>
  </si>
  <si>
    <t>Registration
fee $50
transfer</t>
  </si>
  <si>
    <t>A</t>
  </si>
  <si>
    <t>M</t>
  </si>
  <si>
    <t>B</t>
  </si>
  <si>
    <t>N</t>
  </si>
  <si>
    <t>C</t>
  </si>
  <si>
    <t>O</t>
  </si>
  <si>
    <t>D</t>
  </si>
  <si>
    <t>P</t>
  </si>
  <si>
    <t>E</t>
  </si>
  <si>
    <t>Q</t>
  </si>
  <si>
    <t>F</t>
  </si>
  <si>
    <t>G</t>
  </si>
  <si>
    <t>R</t>
  </si>
  <si>
    <t>H</t>
  </si>
  <si>
    <t>I</t>
  </si>
  <si>
    <t>S</t>
  </si>
  <si>
    <t>J</t>
  </si>
  <si>
    <t>T</t>
  </si>
  <si>
    <t>K</t>
  </si>
  <si>
    <t>L</t>
  </si>
  <si>
    <t>U</t>
  </si>
  <si>
    <t>V</t>
  </si>
  <si>
    <t>W</t>
  </si>
  <si>
    <t>X</t>
  </si>
  <si>
    <t>car selected twice</t>
  </si>
  <si>
    <t>too many bars</t>
  </si>
  <si>
    <t>Row #</t>
  </si>
  <si>
    <t>Keep hitting "fit to screen" to toggle between full screen and regular view</t>
  </si>
  <si>
    <t>Y</t>
  </si>
  <si>
    <t>Z</t>
  </si>
  <si>
    <t>Penalties</t>
  </si>
  <si>
    <t>High Score</t>
  </si>
  <si>
    <t>M01</t>
  </si>
  <si>
    <t>M02</t>
  </si>
  <si>
    <t>M03</t>
  </si>
  <si>
    <t>M04</t>
  </si>
  <si>
    <t>M05</t>
  </si>
  <si>
    <t>M06</t>
  </si>
  <si>
    <t>M07</t>
  </si>
  <si>
    <t>M08</t>
  </si>
  <si>
    <t>M09</t>
  </si>
  <si>
    <t>M10</t>
  </si>
  <si>
    <t>M11</t>
  </si>
  <si>
    <t>M12</t>
  </si>
  <si>
    <t>M13</t>
  </si>
  <si>
    <t>M14</t>
  </si>
  <si>
    <t>AA</t>
  </si>
  <si>
    <t>M15</t>
  </si>
  <si>
    <t>BB</t>
  </si>
  <si>
    <t>ok</t>
  </si>
  <si>
    <t>TEAM #</t>
  </si>
  <si>
    <t>M01 – SPACE TRAVEL</t>
  </si>
  <si>
    <t>M07 – SPACE WALK EMERGENCY</t>
  </si>
  <si>
    <r>
      <t xml:space="preserve"> (For each roll, cart must be </t>
    </r>
    <r>
      <rPr>
        <u/>
        <sz val="12"/>
        <color rgb="FF0070C0"/>
        <rFont val="Calibri"/>
        <family val="2"/>
      </rPr>
      <t>independent</t>
    </r>
    <r>
      <rPr>
        <sz val="12"/>
        <color rgb="FF0070C0"/>
        <rFont val="Calibri"/>
        <family val="2"/>
      </rPr>
      <t xml:space="preserve"> by the time it reaches first track connection) </t>
    </r>
  </si>
  <si>
    <t xml:space="preserve"> Astronaut is in the Airlock Chamber:</t>
  </si>
  <si>
    <t>Y/N</t>
  </si>
  <si>
    <t xml:space="preserve">Vehicle Payload rolled past first track connection </t>
  </si>
  <si>
    <r>
      <rPr>
        <b/>
        <sz val="12"/>
        <color indexed="10"/>
        <rFont val="Arial"/>
        <family val="2"/>
      </rPr>
      <t>M08 – AEROBIC EXERCISE</t>
    </r>
    <r>
      <rPr>
        <b/>
        <sz val="12"/>
        <rFont val="Arial"/>
        <family val="2"/>
      </rPr>
      <t xml:space="preserve">  </t>
    </r>
    <r>
      <rPr>
        <sz val="11"/>
        <color rgb="FF0070C0"/>
        <rFont val="Arial"/>
        <family val="2"/>
      </rPr>
      <t xml:space="preserve"> (due </t>
    </r>
    <r>
      <rPr>
        <u/>
        <sz val="11"/>
        <color rgb="FF0070C0"/>
        <rFont val="Arial"/>
        <family val="2"/>
      </rPr>
      <t>ONLY</t>
    </r>
    <r>
      <rPr>
        <sz val="11"/>
        <color rgb="FF0070C0"/>
        <rFont val="Arial"/>
        <family val="2"/>
      </rPr>
      <t xml:space="preserve"> to moving one or both Handle Assemblies)</t>
    </r>
  </si>
  <si>
    <t>Supply Payload rolled past first track connection</t>
  </si>
  <si>
    <t>Exercise Pointer tip is in:</t>
  </si>
  <si>
    <t>Crew Payload rolled past first track connection</t>
  </si>
  <si>
    <t>M09 – STRENGTH EXERCISE</t>
  </si>
  <si>
    <t>M02 – SOLAR PANEL ARRAY</t>
  </si>
  <si>
    <t>Strength Bar lifted so that tooth-strip’s 4th hole is at least partly in view</t>
  </si>
  <si>
    <t>Both Solar Panels are angled toward the same Field</t>
  </si>
  <si>
    <r>
      <t>M10 – FOOD PRODUCTION</t>
    </r>
    <r>
      <rPr>
        <sz val="12"/>
        <color rgb="FF0070C0"/>
        <rFont val="Arial"/>
        <family val="2"/>
      </rPr>
      <t xml:space="preserve"> (due </t>
    </r>
    <r>
      <rPr>
        <u/>
        <sz val="12"/>
        <color rgb="FF0070C0"/>
        <rFont val="Arial"/>
        <family val="2"/>
      </rPr>
      <t>ONLY</t>
    </r>
    <r>
      <rPr>
        <sz val="12"/>
        <color rgb="FF0070C0"/>
        <rFont val="Arial"/>
        <family val="2"/>
      </rPr>
      <t xml:space="preserve"> to moving the Push Bar)</t>
    </r>
  </si>
  <si>
    <t>Your Solar Panel is angled to other team’s Field</t>
  </si>
  <si>
    <t>Grey weight is dropped after green, but before tan</t>
  </si>
  <si>
    <t>M03 – 3D PRINTING</t>
  </si>
  <si>
    <r>
      <t>M11 – ESCAPE VELOCITY</t>
    </r>
    <r>
      <rPr>
        <sz val="12"/>
        <color rgb="FF0070C0"/>
        <rFont val="Arial"/>
        <family val="2"/>
      </rPr>
      <t xml:space="preserve"> (due only to pressing/hitting Strike Pad)</t>
    </r>
  </si>
  <si>
    <t>Pass/Fail</t>
  </si>
  <si>
    <r>
      <t xml:space="preserve">2x4 Brick is ejected </t>
    </r>
    <r>
      <rPr>
        <sz val="12"/>
        <color indexed="30"/>
        <rFont val="Calibri"/>
        <family val="2"/>
      </rPr>
      <t xml:space="preserve"> </t>
    </r>
    <r>
      <rPr>
        <sz val="12"/>
        <color rgb="FF0070C0"/>
        <rFont val="Calibri"/>
        <family val="2"/>
      </rPr>
      <t>(due only to a Regolith (gray) Core Sample in the 3D Printer)</t>
    </r>
  </si>
  <si>
    <t xml:space="preserve"> Spacecraft stays up </t>
  </si>
  <si>
    <r>
      <t xml:space="preserve">2x4 Brick is </t>
    </r>
    <r>
      <rPr>
        <u/>
        <sz val="12"/>
        <rFont val="Calibri"/>
        <family val="2"/>
      </rPr>
      <t>completely</t>
    </r>
    <r>
      <rPr>
        <sz val="12"/>
        <rFont val="Calibri"/>
        <family val="2"/>
      </rPr>
      <t xml:space="preserve"> in Northeast Planet Area</t>
    </r>
  </si>
  <si>
    <t xml:space="preserve">M12 – SATELLITE ORBITS </t>
  </si>
  <si>
    <t>M04 – CRATER CROSSING</t>
  </si>
  <si>
    <r>
      <t>Satellites</t>
    </r>
    <r>
      <rPr>
        <u/>
        <sz val="12"/>
        <rFont val="Calibri"/>
        <family val="2"/>
      </rPr>
      <t xml:space="preserve"> on/above</t>
    </r>
    <r>
      <rPr>
        <sz val="12"/>
        <rFont val="Calibri"/>
        <family val="2"/>
      </rPr>
      <t xml:space="preserve"> the area between the two lines of Outer Orbit: </t>
    </r>
  </si>
  <si>
    <t>OR</t>
  </si>
  <si>
    <r>
      <t xml:space="preserve">All weight-bearing features of crossing equipment crossed </t>
    </r>
    <r>
      <rPr>
        <u/>
        <sz val="12"/>
        <rFont val="Calibri"/>
        <family val="2"/>
      </rPr>
      <t>completely</t>
    </r>
    <r>
      <rPr>
        <sz val="12"/>
        <rFont val="Calibri"/>
        <family val="2"/>
      </rPr>
      <t xml:space="preserve"> between towers</t>
    </r>
  </si>
  <si>
    <t>M13 – OBSERVATORY</t>
  </si>
  <si>
    <r>
      <t xml:space="preserve">All crossing equipment crossed from east to west, </t>
    </r>
    <r>
      <rPr>
        <u/>
        <sz val="12"/>
        <rFont val="Calibri"/>
        <family val="2"/>
      </rPr>
      <t>completely past</t>
    </r>
    <r>
      <rPr>
        <sz val="12"/>
        <rFont val="Calibri"/>
        <family val="2"/>
      </rPr>
      <t xml:space="preserve"> flattened Gate</t>
    </r>
  </si>
  <si>
    <t xml:space="preserve">The Observatory pointer tip is in: </t>
  </si>
  <si>
    <r>
      <t xml:space="preserve">M05 – EXTRACTION                    </t>
    </r>
    <r>
      <rPr>
        <sz val="11"/>
        <rFont val="Arial"/>
        <family val="2"/>
      </rPr>
      <t xml:space="preserve"> [Regolith = gray]     [gas = white]       [water = blue]</t>
    </r>
  </si>
  <si>
    <r>
      <t xml:space="preserve">M14 – METEOROID DEFLECTION </t>
    </r>
    <r>
      <rPr>
        <sz val="11"/>
        <color rgb="FF0070C0"/>
        <rFont val="Arial"/>
        <family val="2"/>
      </rPr>
      <t xml:space="preserve">(Meteoroid must cross from west of the Free-Line) </t>
    </r>
  </si>
  <si>
    <r>
      <t xml:space="preserve">All four Core Samples no longer </t>
    </r>
    <r>
      <rPr>
        <u/>
        <sz val="12"/>
        <rFont val="Calibri"/>
        <family val="2"/>
      </rPr>
      <t>touching</t>
    </r>
    <r>
      <rPr>
        <sz val="12"/>
        <rFont val="Calibri"/>
        <family val="2"/>
      </rPr>
      <t xml:space="preserve"> axle of Core Site Model</t>
    </r>
  </si>
  <si>
    <r>
      <t xml:space="preserve">(Meteoroid must be </t>
    </r>
    <r>
      <rPr>
        <u/>
        <sz val="12"/>
        <color rgb="FF0070C0"/>
        <rFont val="Calibri"/>
        <family val="2"/>
      </rPr>
      <t xml:space="preserve">completely independent </t>
    </r>
    <r>
      <rPr>
        <sz val="12"/>
        <color rgb="FF0070C0"/>
        <rFont val="Calibri"/>
        <family val="2"/>
      </rPr>
      <t xml:space="preserve">between the hit/release and scoring position) </t>
    </r>
  </si>
  <si>
    <r>
      <t xml:space="preserve">Gas (white) Core Sample </t>
    </r>
    <r>
      <rPr>
        <u/>
        <sz val="12"/>
        <rFont val="Calibri"/>
        <family val="2"/>
      </rPr>
      <t>touching</t>
    </r>
    <r>
      <rPr>
        <sz val="12"/>
        <rFont val="Calibri"/>
        <family val="2"/>
      </rPr>
      <t xml:space="preserve"> Mat &amp; </t>
    </r>
    <r>
      <rPr>
        <u/>
        <sz val="12"/>
        <rFont val="Calibri"/>
        <family val="2"/>
      </rPr>
      <t>completely</t>
    </r>
    <r>
      <rPr>
        <sz val="12"/>
        <rFont val="Calibri"/>
        <family val="2"/>
      </rPr>
      <t xml:space="preserve"> in Target Circle</t>
    </r>
  </si>
  <si>
    <r>
      <t xml:space="preserve">Meteoroids </t>
    </r>
    <r>
      <rPr>
        <u/>
        <sz val="12"/>
        <rFont val="Calibri"/>
        <family val="2"/>
      </rPr>
      <t>touching</t>
    </r>
    <r>
      <rPr>
        <sz val="12"/>
        <rFont val="Calibri"/>
        <family val="2"/>
      </rPr>
      <t xml:space="preserve"> the Mat and in the Center Section:</t>
    </r>
  </si>
  <si>
    <r>
      <t xml:space="preserve">           </t>
    </r>
    <r>
      <rPr>
        <b/>
        <sz val="12"/>
        <color indexed="10"/>
        <rFont val="Calibri"/>
        <family val="2"/>
      </rPr>
      <t xml:space="preserve">&lt;OR&gt; </t>
    </r>
    <r>
      <rPr>
        <sz val="12"/>
        <rFont val="Calibri"/>
        <family val="2"/>
      </rPr>
      <t xml:space="preserve">    Gas (white)Core Sample is </t>
    </r>
    <r>
      <rPr>
        <u/>
        <sz val="12"/>
        <rFont val="Calibri"/>
        <family val="2"/>
      </rPr>
      <t>completely</t>
    </r>
    <r>
      <rPr>
        <sz val="12"/>
        <rFont val="Calibri"/>
        <family val="2"/>
      </rPr>
      <t xml:space="preserve"> in Base</t>
    </r>
  </si>
  <si>
    <r>
      <t xml:space="preserve">Meteoroids </t>
    </r>
    <r>
      <rPr>
        <u/>
        <sz val="12"/>
        <rFont val="Calibri"/>
        <family val="2"/>
      </rPr>
      <t>touching</t>
    </r>
    <r>
      <rPr>
        <sz val="12"/>
        <rFont val="Calibri"/>
        <family val="2"/>
      </rPr>
      <t xml:space="preserve"> the Mat and in Either Side Section:</t>
    </r>
  </si>
  <si>
    <t>012</t>
  </si>
  <si>
    <r>
      <t xml:space="preserve">Water Core Sample supported </t>
    </r>
    <r>
      <rPr>
        <u/>
        <sz val="12"/>
        <rFont val="Calibri"/>
        <family val="2"/>
      </rPr>
      <t>only</t>
    </r>
    <r>
      <rPr>
        <sz val="12"/>
        <rFont val="Calibri"/>
        <family val="2"/>
      </rPr>
      <t xml:space="preserve"> by Food Growth Chamber</t>
    </r>
  </si>
  <si>
    <t xml:space="preserve">M15 – LANDER TOUCH-DOWN </t>
  </si>
  <si>
    <t>0123</t>
  </si>
  <si>
    <t>M06 – SPACE STATION MODULE</t>
  </si>
  <si>
    <r>
      <t xml:space="preserve">Lander is intact and </t>
    </r>
    <r>
      <rPr>
        <u/>
        <sz val="12"/>
        <rFont val="Calibri"/>
        <family val="2"/>
      </rPr>
      <t>touching</t>
    </r>
    <r>
      <rPr>
        <sz val="12"/>
        <rFont val="Calibri"/>
        <family val="2"/>
      </rPr>
      <t xml:space="preserve"> the Mat </t>
    </r>
  </si>
  <si>
    <r>
      <t xml:space="preserve">(Inserted Modules must not </t>
    </r>
    <r>
      <rPr>
        <u/>
        <sz val="12"/>
        <color rgb="FF0070C0"/>
        <rFont val="Calibri"/>
        <family val="2"/>
      </rPr>
      <t>touch anything</t>
    </r>
    <r>
      <rPr>
        <sz val="12"/>
        <color rgb="FF0070C0"/>
        <rFont val="Calibri"/>
        <family val="2"/>
      </rPr>
      <t xml:space="preserve"> except Habitation Hub)</t>
    </r>
  </si>
  <si>
    <r>
      <t xml:space="preserve">Lander is </t>
    </r>
    <r>
      <rPr>
        <u/>
        <sz val="12"/>
        <rFont val="Calibri"/>
        <family val="2"/>
      </rPr>
      <t>completely</t>
    </r>
    <r>
      <rPr>
        <sz val="12"/>
        <rFont val="Calibri"/>
        <family val="2"/>
      </rPr>
      <t xml:space="preserve"> in: </t>
    </r>
  </si>
  <si>
    <r>
      <t xml:space="preserve">Cone Module is </t>
    </r>
    <r>
      <rPr>
        <u/>
        <sz val="12"/>
        <rFont val="Calibri"/>
        <family val="2"/>
      </rPr>
      <t>completely</t>
    </r>
    <r>
      <rPr>
        <sz val="12"/>
        <rFont val="Calibri"/>
        <family val="2"/>
      </rPr>
      <t xml:space="preserve"> in Base</t>
    </r>
  </si>
  <si>
    <t xml:space="preserve">PENALTIES </t>
  </si>
  <si>
    <r>
      <t xml:space="preserve">Tube Module is in </t>
    </r>
    <r>
      <rPr>
        <u/>
        <sz val="12"/>
        <rFont val="Calibri"/>
        <family val="2"/>
      </rPr>
      <t>WEST</t>
    </r>
    <r>
      <rPr>
        <sz val="12"/>
        <rFont val="Calibri"/>
        <family val="2"/>
      </rPr>
      <t xml:space="preserve"> port of Habitation Hub</t>
    </r>
  </si>
  <si>
    <t>Penalty discs in the southeast triangle</t>
  </si>
  <si>
    <r>
      <t xml:space="preserve">Dock Module is in </t>
    </r>
    <r>
      <rPr>
        <u/>
        <sz val="12"/>
        <rFont val="Calibri"/>
        <family val="2"/>
      </rPr>
      <t>EAST</t>
    </r>
    <r>
      <rPr>
        <sz val="12"/>
        <rFont val="Calibri"/>
        <family val="2"/>
      </rPr>
      <t xml:space="preserve"> port of Habitation Hub</t>
    </r>
  </si>
  <si>
    <t>M08 and M13</t>
  </si>
  <si>
    <t>If Pointer is partly covering either grey or orange end borders, select that respective color</t>
  </si>
  <si>
    <t>0123456</t>
  </si>
  <si>
    <t xml:space="preserve">M05 gas core location? </t>
  </si>
  <si>
    <t>M14 too many Meteriods</t>
  </si>
  <si>
    <t>Round 4</t>
  </si>
  <si>
    <t>Round 1 GP</t>
  </si>
  <si>
    <t>Round 2 GP</t>
  </si>
  <si>
    <t>Round 3 GP</t>
  </si>
  <si>
    <t>Round 4 GP</t>
  </si>
  <si>
    <t>Morgan Elementary School</t>
  </si>
  <si>
    <t>Evil Croutons</t>
  </si>
  <si>
    <t>Switzer Elementary School</t>
  </si>
  <si>
    <t>Messmore Elementary School</t>
  </si>
  <si>
    <t>Huron Academy Huskies</t>
  </si>
  <si>
    <t>Robo-Warriors 5</t>
  </si>
  <si>
    <t>Trinity Lutheran School</t>
  </si>
  <si>
    <t>.</t>
  </si>
  <si>
    <t>Bionic Eagles</t>
  </si>
  <si>
    <t>Ferndroids</t>
  </si>
  <si>
    <t>Morgan Elementary Sharks</t>
  </si>
  <si>
    <t>Robo-Warriors</t>
  </si>
  <si>
    <t>The Banana Repub-brick</t>
  </si>
  <si>
    <t>LEGO My Faygo</t>
  </si>
  <si>
    <t>Everest5</t>
  </si>
  <si>
    <t>Paint Creek Elementary School</t>
  </si>
  <si>
    <t>Lone Pine Elementary School</t>
  </si>
  <si>
    <t>Ferndale Upper Elementary</t>
  </si>
  <si>
    <t>Blanche Sims Elementary School</t>
  </si>
  <si>
    <t>Ebeling Elementary School</t>
  </si>
  <si>
    <t>Ferndale Upper Elementary School</t>
  </si>
  <si>
    <t>Huron Academy</t>
  </si>
  <si>
    <t>Community</t>
  </si>
  <si>
    <t>Robotic Ruins</t>
  </si>
  <si>
    <t>Conant Elementary School</t>
  </si>
  <si>
    <t>The Gold Miners</t>
  </si>
  <si>
    <t>Way Elementary School</t>
  </si>
  <si>
    <t>Robotic Knighthawks</t>
  </si>
  <si>
    <t>University Liggett School</t>
  </si>
  <si>
    <t>Artifact Maniacs</t>
  </si>
  <si>
    <t>Techno Bananas</t>
  </si>
  <si>
    <t>Astro Knighthawks</t>
  </si>
  <si>
    <t>Techno Tie-Dye Tater Tots</t>
  </si>
  <si>
    <t>Robonauts</t>
  </si>
  <si>
    <t>Techno Titans</t>
  </si>
  <si>
    <t>Eastover Elementary School</t>
  </si>
  <si>
    <t>The Fire Starters</t>
  </si>
  <si>
    <t>International Technology Academy</t>
  </si>
  <si>
    <t>Webber Elementary School</t>
  </si>
  <si>
    <t>Snacks &amp; Gears Engineers</t>
  </si>
  <si>
    <t>The Excavators</t>
  </si>
  <si>
    <t>Stadium Dragons</t>
  </si>
  <si>
    <t>Stadium Drive Elementary School</t>
  </si>
  <si>
    <t>Mini Miners</t>
  </si>
  <si>
    <t>Harlan Elementary School</t>
  </si>
  <si>
    <t>Robo Huskies</t>
  </si>
  <si>
    <t>Everest 3</t>
  </si>
  <si>
    <t>DEEP FRIED EAGLES</t>
  </si>
  <si>
    <t>Binary Bananas</t>
  </si>
  <si>
    <t>Gardens Elementary School</t>
  </si>
  <si>
    <t>Maverick Mechanics</t>
  </si>
  <si>
    <t>Blown Fuses LL1</t>
  </si>
  <si>
    <t>Parcells Middle School</t>
  </si>
  <si>
    <t>Blown Fuses LL2</t>
  </si>
  <si>
    <t>I LIVE UNDER A ROCK!</t>
  </si>
  <si>
    <t>Robo-Fairies &lt;3</t>
  </si>
  <si>
    <t>Sharp Dressed Men</t>
  </si>
  <si>
    <t>The Buddies</t>
  </si>
  <si>
    <t>Defer Elementary School</t>
  </si>
  <si>
    <t>Wiley Elementary Challenge</t>
  </si>
  <si>
    <t>Wiley Elementary School</t>
  </si>
  <si>
    <t>Prehistoric Panthers</t>
  </si>
  <si>
    <t>Pierce Elementary School</t>
  </si>
  <si>
    <t>Lego Panthers</t>
  </si>
  <si>
    <t>Roberts Robotics The Thunder Nuggets</t>
  </si>
  <si>
    <t>Roberts Elementary School</t>
  </si>
  <si>
    <t>BIT BUSTERS</t>
  </si>
  <si>
    <t>Beacon Tree Elementary School</t>
  </si>
  <si>
    <t>Flickinger Falcons</t>
  </si>
  <si>
    <t>Flickinger Elementary School</t>
  </si>
  <si>
    <t>Potato Ducks</t>
  </si>
  <si>
    <t>DeKeyser Dolphins</t>
  </si>
  <si>
    <t>Dekeyser Elementary School</t>
  </si>
  <si>
    <t>Robotic Overlords</t>
  </si>
  <si>
    <t>Ferndale Upper Elementary Campus</t>
  </si>
  <si>
    <t>2025 THUNDERQUEST REGISTRATION</t>
  </si>
  <si>
    <t xml:space="preserve">             ThunderQuest 2025 Live Rankings</t>
  </si>
  <si>
    <t>ThunderQuest 2025 Database - ENTER SCORES HERE</t>
  </si>
  <si>
    <t>Ancient Bananas</t>
  </si>
  <si>
    <t>Webber Dragonbots</t>
  </si>
  <si>
    <t>Cyber Sims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</si>
</sst>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8" x14ac:knownFonts="1">
    <font>
      <sz val="10"/>
      <name val="Arial"/>
    </font>
    <font>
      <sz val="11"/>
      <color theme="1"/>
      <name val="Calibri"/>
      <family val="2"/>
      <scheme val="minor"/>
    </font>
    <font>
      <b/>
      <i/>
      <sz val="12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i/>
      <sz val="24"/>
      <name val="Arial"/>
      <family val="2"/>
    </font>
    <font>
      <b/>
      <i/>
      <sz val="10"/>
      <name val="Arial"/>
      <family val="2"/>
    </font>
    <font>
      <sz val="12"/>
      <name val="Times New Roman"/>
      <family val="1"/>
    </font>
    <font>
      <b/>
      <sz val="16"/>
      <name val="Times New Roman"/>
      <family val="1"/>
    </font>
    <font>
      <b/>
      <sz val="12"/>
      <name val="Times New Roman"/>
      <family val="1"/>
    </font>
    <font>
      <b/>
      <i/>
      <sz val="20"/>
      <name val="Arial"/>
      <family val="2"/>
    </font>
    <font>
      <sz val="16"/>
      <name val="Times New Roman"/>
      <family val="1"/>
    </font>
    <font>
      <sz val="10"/>
      <name val="Times New Roman"/>
      <family val="1"/>
    </font>
    <font>
      <b/>
      <sz val="10"/>
      <name val="Times New Roman"/>
      <family val="1"/>
    </font>
    <font>
      <b/>
      <i/>
      <sz val="14"/>
      <name val="Arial"/>
      <family val="2"/>
    </font>
    <font>
      <b/>
      <i/>
      <sz val="18"/>
      <name val="Arial"/>
      <family val="2"/>
    </font>
    <font>
      <sz val="28"/>
      <name val="Arial"/>
      <family val="2"/>
    </font>
    <font>
      <b/>
      <i/>
      <sz val="16"/>
      <name val="Arial"/>
      <family val="2"/>
    </font>
    <font>
      <b/>
      <sz val="24"/>
      <color indexed="10"/>
      <name val="Comic Sans MS"/>
      <family val="4"/>
    </font>
    <font>
      <b/>
      <i/>
      <sz val="12"/>
      <color rgb="FFFF0000"/>
      <name val="Times New Roman"/>
      <family val="1"/>
    </font>
    <font>
      <b/>
      <i/>
      <sz val="16"/>
      <color rgb="FFFF0000"/>
      <name val="Times New Roman"/>
      <family val="1"/>
    </font>
    <font>
      <b/>
      <sz val="12"/>
      <name val="Arial"/>
      <family val="2"/>
    </font>
    <font>
      <sz val="10"/>
      <color indexed="10"/>
      <name val="Arial"/>
      <family val="2"/>
    </font>
    <font>
      <sz val="12"/>
      <name val="Arial"/>
      <family val="2"/>
    </font>
    <font>
      <b/>
      <sz val="12"/>
      <color indexed="11"/>
      <name val="Calibri"/>
      <family val="2"/>
      <scheme val="minor"/>
    </font>
    <font>
      <b/>
      <sz val="18"/>
      <color indexed="11"/>
      <name val="Calibri"/>
      <family val="2"/>
      <scheme val="minor"/>
    </font>
    <font>
      <sz val="10"/>
      <name val="Calibri"/>
      <family val="2"/>
      <scheme val="minor"/>
    </font>
    <font>
      <b/>
      <sz val="16"/>
      <name val="Calibri"/>
      <family val="2"/>
      <scheme val="minor"/>
    </font>
    <font>
      <sz val="14"/>
      <name val="Calibri"/>
      <family val="2"/>
      <scheme val="minor"/>
    </font>
    <font>
      <sz val="10"/>
      <color rgb="FF000000"/>
      <name val="Arial"/>
      <family val="2"/>
    </font>
    <font>
      <sz val="10"/>
      <name val="Calibri"/>
      <family val="2"/>
    </font>
    <font>
      <sz val="12"/>
      <name val="Calibri"/>
      <family val="2"/>
    </font>
    <font>
      <sz val="10"/>
      <color indexed="10"/>
      <name val="Calibri"/>
      <family val="2"/>
    </font>
    <font>
      <sz val="10"/>
      <color indexed="9"/>
      <name val="Arial"/>
      <family val="2"/>
    </font>
    <font>
      <u/>
      <sz val="12"/>
      <name val="Calibri"/>
      <family val="2"/>
    </font>
    <font>
      <b/>
      <sz val="16"/>
      <name val="Calibri"/>
      <family val="2"/>
    </font>
    <font>
      <sz val="10"/>
      <color theme="0"/>
      <name val="Arial"/>
      <family val="2"/>
    </font>
    <font>
      <sz val="11"/>
      <color theme="0"/>
      <name val="Calibri"/>
      <family val="2"/>
    </font>
    <font>
      <sz val="10"/>
      <color theme="0"/>
      <name val="Calibri"/>
      <family val="2"/>
    </font>
    <font>
      <b/>
      <sz val="12"/>
      <color indexed="10"/>
      <name val="Calibri"/>
      <family val="2"/>
    </font>
    <font>
      <sz val="12"/>
      <color indexed="30"/>
      <name val="Calibri"/>
      <family val="2"/>
    </font>
    <font>
      <sz val="11"/>
      <color rgb="FF0070C0"/>
      <name val="Arial"/>
      <family val="2"/>
    </font>
    <font>
      <b/>
      <i/>
      <sz val="14"/>
      <color rgb="FFFF0000"/>
      <name val="Times New Roman"/>
      <family val="1"/>
    </font>
    <font>
      <sz val="11"/>
      <color rgb="FF006100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name val="Calibri"/>
      <family val="2"/>
      <scheme val="minor"/>
    </font>
    <font>
      <sz val="12"/>
      <color rgb="FF0070C0"/>
      <name val="Calibri"/>
      <family val="2"/>
    </font>
    <font>
      <u/>
      <sz val="12"/>
      <color rgb="FF0070C0"/>
      <name val="Calibri"/>
      <family val="2"/>
    </font>
    <font>
      <b/>
      <sz val="12"/>
      <color indexed="10"/>
      <name val="Arial"/>
      <family val="2"/>
    </font>
    <font>
      <u/>
      <sz val="11"/>
      <color rgb="FF0070C0"/>
      <name val="Arial"/>
      <family val="2"/>
    </font>
    <font>
      <sz val="14"/>
      <name val="Calibri"/>
      <family val="2"/>
    </font>
    <font>
      <sz val="12"/>
      <color rgb="FF0070C0"/>
      <name val="Arial"/>
      <family val="2"/>
    </font>
    <font>
      <u/>
      <sz val="12"/>
      <color rgb="FF0070C0"/>
      <name val="Arial"/>
      <family val="2"/>
    </font>
    <font>
      <b/>
      <sz val="12"/>
      <color rgb="FFFF0000"/>
      <name val="Arial"/>
      <family val="2"/>
    </font>
    <font>
      <sz val="11"/>
      <name val="Arial"/>
      <family val="2"/>
    </font>
    <font>
      <b/>
      <sz val="20"/>
      <color indexed="10"/>
      <name val="Calibri"/>
      <family val="2"/>
    </font>
    <font>
      <sz val="12"/>
      <color rgb="FFFF0000"/>
      <name val="Calibri"/>
      <family val="2"/>
    </font>
    <font>
      <sz val="12"/>
      <color theme="0"/>
      <name val="Calibri"/>
      <family val="2"/>
    </font>
    <font>
      <b/>
      <sz val="10"/>
      <name val="Calibri"/>
      <family val="2"/>
      <scheme val="minor"/>
    </font>
    <font>
      <b/>
      <i/>
      <sz val="14"/>
      <name val="Calibri"/>
      <family val="2"/>
      <scheme val="minor"/>
    </font>
    <font>
      <b/>
      <i/>
      <sz val="22"/>
      <name val="Calibri"/>
      <family val="2"/>
      <scheme val="minor"/>
    </font>
    <font>
      <b/>
      <i/>
      <sz val="10"/>
      <name val="Calibri"/>
      <family val="2"/>
      <scheme val="minor"/>
    </font>
    <font>
      <b/>
      <i/>
      <sz val="12"/>
      <name val="Calibri"/>
      <family val="2"/>
      <scheme val="minor"/>
    </font>
    <font>
      <b/>
      <sz val="12"/>
      <name val="Calibri"/>
      <family val="2"/>
      <scheme val="minor"/>
    </font>
    <font>
      <sz val="16"/>
      <name val="Calibri"/>
      <family val="2"/>
      <scheme val="minor"/>
    </font>
    <font>
      <b/>
      <i/>
      <sz val="16"/>
      <color rgb="FFFF0000"/>
      <name val="Calibri"/>
      <family val="2"/>
    </font>
    <font>
      <b/>
      <i/>
      <sz val="26"/>
      <name val="Arial"/>
      <family val="2"/>
    </font>
    <font>
      <sz val="12"/>
      <color rgb="FFFF000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indexed="4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6EFCE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C000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5">
    <xf numFmtId="0" fontId="0" fillId="0" borderId="0"/>
    <xf numFmtId="0" fontId="3" fillId="0" borderId="0"/>
    <xf numFmtId="9" fontId="3" fillId="0" borderId="0" applyFont="0" applyFill="0" applyBorder="0" applyAlignment="0" applyProtection="0"/>
    <xf numFmtId="0" fontId="43" fillId="13" borderId="0" applyNumberFormat="0" applyBorder="0" applyAlignment="0" applyProtection="0"/>
    <xf numFmtId="0" fontId="1" fillId="0" borderId="0"/>
  </cellStyleXfs>
  <cellXfs count="282">
    <xf numFmtId="0" fontId="0" fillId="0" borderId="0" xfId="0"/>
    <xf numFmtId="0" fontId="7" fillId="0" borderId="0" xfId="0" applyFont="1"/>
    <xf numFmtId="0" fontId="10" fillId="0" borderId="0" xfId="0" applyFont="1"/>
    <xf numFmtId="0" fontId="2" fillId="0" borderId="0" xfId="0" applyFont="1"/>
    <xf numFmtId="0" fontId="12" fillId="0" borderId="0" xfId="0" applyFont="1"/>
    <xf numFmtId="0" fontId="12" fillId="0" borderId="0" xfId="0" applyFont="1" applyAlignment="1">
      <alignment horizontal="center"/>
    </xf>
    <xf numFmtId="0" fontId="12" fillId="0" borderId="1" xfId="0" applyFont="1" applyBorder="1" applyAlignment="1">
      <alignment horizontal="center"/>
    </xf>
    <xf numFmtId="0" fontId="6" fillId="0" borderId="0" xfId="0" applyFont="1"/>
    <xf numFmtId="0" fontId="0" fillId="3" borderId="0" xfId="0" applyFill="1"/>
    <xf numFmtId="0" fontId="0" fillId="4" borderId="0" xfId="0" applyFill="1"/>
    <xf numFmtId="0" fontId="0" fillId="4" borderId="0" xfId="0" applyFill="1" applyAlignment="1">
      <alignment vertical="center"/>
    </xf>
    <xf numFmtId="0" fontId="0" fillId="4" borderId="0" xfId="0" applyFill="1" applyAlignment="1">
      <alignment horizontal="center" vertical="center"/>
    </xf>
    <xf numFmtId="0" fontId="14" fillId="4" borderId="0" xfId="0" applyFont="1" applyFill="1"/>
    <xf numFmtId="0" fontId="15" fillId="4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13" fillId="0" borderId="13" xfId="0" applyFont="1" applyBorder="1" applyAlignment="1">
      <alignment horizontal="center" textRotation="90"/>
    </xf>
    <xf numFmtId="0" fontId="7" fillId="0" borderId="17" xfId="0" applyFont="1" applyBorder="1"/>
    <xf numFmtId="0" fontId="9" fillId="0" borderId="17" xfId="0" applyFont="1" applyBorder="1"/>
    <xf numFmtId="0" fontId="12" fillId="3" borderId="1" xfId="0" applyFont="1" applyFill="1" applyBorder="1" applyAlignment="1">
      <alignment horizontal="left" indent="2"/>
    </xf>
    <xf numFmtId="0" fontId="12" fillId="0" borderId="1" xfId="0" applyFont="1" applyBorder="1" applyAlignment="1" applyProtection="1">
      <alignment horizontal="center"/>
      <protection locked="0"/>
    </xf>
    <xf numFmtId="0" fontId="8" fillId="0" borderId="8" xfId="0" applyFont="1" applyBorder="1" applyAlignment="1">
      <alignment horizontal="center" textRotation="90"/>
    </xf>
    <xf numFmtId="0" fontId="10" fillId="6" borderId="0" xfId="0" applyFont="1" applyFill="1"/>
    <xf numFmtId="0" fontId="7" fillId="6" borderId="0" xfId="0" applyFont="1" applyFill="1"/>
    <xf numFmtId="0" fontId="6" fillId="6" borderId="0" xfId="0" applyFont="1" applyFill="1"/>
    <xf numFmtId="0" fontId="12" fillId="6" borderId="0" xfId="0" applyFont="1" applyFill="1"/>
    <xf numFmtId="0" fontId="12" fillId="6" borderId="0" xfId="0" applyFont="1" applyFill="1" applyAlignment="1">
      <alignment horizontal="center"/>
    </xf>
    <xf numFmtId="2" fontId="11" fillId="0" borderId="3" xfId="0" applyNumberFormat="1" applyFont="1" applyBorder="1" applyAlignment="1">
      <alignment horizontal="center"/>
    </xf>
    <xf numFmtId="0" fontId="12" fillId="4" borderId="1" xfId="0" applyFont="1" applyFill="1" applyBorder="1" applyAlignment="1">
      <alignment horizontal="center"/>
    </xf>
    <xf numFmtId="0" fontId="3" fillId="3" borderId="0" xfId="1" applyFill="1"/>
    <xf numFmtId="0" fontId="21" fillId="3" borderId="0" xfId="1" applyFont="1" applyFill="1"/>
    <xf numFmtId="0" fontId="24" fillId="2" borderId="0" xfId="0" applyFont="1" applyFill="1"/>
    <xf numFmtId="0" fontId="26" fillId="2" borderId="0" xfId="0" applyFont="1" applyFill="1"/>
    <xf numFmtId="0" fontId="27" fillId="3" borderId="5" xfId="0" applyFont="1" applyFill="1" applyBorder="1" applyAlignment="1">
      <alignment horizontal="center"/>
    </xf>
    <xf numFmtId="0" fontId="27" fillId="3" borderId="12" xfId="0" applyFont="1" applyFill="1" applyBorder="1" applyAlignment="1">
      <alignment horizontal="center"/>
    </xf>
    <xf numFmtId="0" fontId="27" fillId="3" borderId="8" xfId="0" applyFont="1" applyFill="1" applyBorder="1" applyAlignment="1">
      <alignment horizontal="centerContinuous"/>
    </xf>
    <xf numFmtId="0" fontId="27" fillId="3" borderId="8" xfId="0" applyFont="1" applyFill="1" applyBorder="1" applyAlignment="1">
      <alignment horizontal="centerContinuous" wrapText="1"/>
    </xf>
    <xf numFmtId="0" fontId="27" fillId="3" borderId="13" xfId="0" applyFont="1" applyFill="1" applyBorder="1" applyAlignment="1">
      <alignment horizontal="centerContinuous" wrapText="1"/>
    </xf>
    <xf numFmtId="0" fontId="28" fillId="3" borderId="1" xfId="0" applyFont="1" applyFill="1" applyBorder="1" applyAlignment="1" applyProtection="1">
      <alignment horizontal="left"/>
      <protection locked="0"/>
    </xf>
    <xf numFmtId="0" fontId="28" fillId="3" borderId="1" xfId="0" applyFont="1" applyFill="1" applyBorder="1" applyAlignment="1" applyProtection="1">
      <alignment horizontal="center"/>
      <protection locked="0"/>
    </xf>
    <xf numFmtId="0" fontId="28" fillId="3" borderId="9" xfId="0" applyFont="1" applyFill="1" applyBorder="1" applyAlignment="1" applyProtection="1">
      <alignment horizontal="center"/>
      <protection locked="0"/>
    </xf>
    <xf numFmtId="0" fontId="26" fillId="2" borderId="0" xfId="0" quotePrefix="1" applyFont="1" applyFill="1"/>
    <xf numFmtId="0" fontId="28" fillId="3" borderId="9" xfId="0" applyFont="1" applyFill="1" applyBorder="1" applyAlignment="1" applyProtection="1">
      <alignment horizontal="left"/>
      <protection locked="0"/>
    </xf>
    <xf numFmtId="0" fontId="13" fillId="3" borderId="31" xfId="0" applyFont="1" applyFill="1" applyBorder="1" applyAlignment="1">
      <alignment horizontal="center"/>
    </xf>
    <xf numFmtId="0" fontId="13" fillId="3" borderId="14" xfId="0" applyFont="1" applyFill="1" applyBorder="1" applyAlignment="1">
      <alignment horizontal="center"/>
    </xf>
    <xf numFmtId="0" fontId="13" fillId="0" borderId="14" xfId="0" applyFont="1" applyBorder="1" applyAlignment="1">
      <alignment horizontal="center" textRotation="90"/>
    </xf>
    <xf numFmtId="0" fontId="13" fillId="0" borderId="15" xfId="0" applyFont="1" applyBorder="1" applyAlignment="1">
      <alignment horizontal="center" textRotation="90"/>
    </xf>
    <xf numFmtId="0" fontId="12" fillId="3" borderId="11" xfId="0" applyFont="1" applyFill="1" applyBorder="1" applyAlignment="1">
      <alignment horizontal="left" indent="2"/>
    </xf>
    <xf numFmtId="0" fontId="12" fillId="0" borderId="11" xfId="0" applyFont="1" applyBorder="1" applyAlignment="1" applyProtection="1">
      <alignment horizontal="center"/>
      <protection locked="0"/>
    </xf>
    <xf numFmtId="0" fontId="12" fillId="4" borderId="11" xfId="0" applyFont="1" applyFill="1" applyBorder="1" applyAlignment="1">
      <alignment horizontal="center"/>
    </xf>
    <xf numFmtId="0" fontId="13" fillId="0" borderId="3" xfId="0" applyFont="1" applyBorder="1" applyAlignment="1">
      <alignment horizontal="center" textRotation="90"/>
    </xf>
    <xf numFmtId="0" fontId="7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12" fillId="4" borderId="9" xfId="0" applyFont="1" applyFill="1" applyBorder="1" applyAlignment="1">
      <alignment horizontal="center"/>
    </xf>
    <xf numFmtId="9" fontId="0" fillId="3" borderId="0" xfId="2" applyFont="1" applyFill="1" applyProtection="1">
      <protection locked="0"/>
    </xf>
    <xf numFmtId="0" fontId="30" fillId="3" borderId="0" xfId="1" applyFont="1" applyFill="1"/>
    <xf numFmtId="0" fontId="12" fillId="9" borderId="0" xfId="0" applyFont="1" applyFill="1"/>
    <xf numFmtId="0" fontId="6" fillId="9" borderId="0" xfId="0" applyFont="1" applyFill="1"/>
    <xf numFmtId="0" fontId="7" fillId="9" borderId="0" xfId="0" applyFont="1" applyFill="1"/>
    <xf numFmtId="0" fontId="9" fillId="9" borderId="17" xfId="0" applyFont="1" applyFill="1" applyBorder="1"/>
    <xf numFmtId="0" fontId="10" fillId="9" borderId="0" xfId="0" applyFont="1" applyFill="1"/>
    <xf numFmtId="0" fontId="12" fillId="9" borderId="0" xfId="0" applyFont="1" applyFill="1" applyAlignment="1">
      <alignment horizontal="center"/>
    </xf>
    <xf numFmtId="0" fontId="3" fillId="9" borderId="5" xfId="1" applyFill="1" applyBorder="1"/>
    <xf numFmtId="0" fontId="3" fillId="9" borderId="5" xfId="1" applyFill="1" applyBorder="1" applyProtection="1">
      <protection locked="0"/>
    </xf>
    <xf numFmtId="0" fontId="3" fillId="9" borderId="0" xfId="1" applyFill="1" applyProtection="1">
      <protection locked="0"/>
    </xf>
    <xf numFmtId="0" fontId="45" fillId="3" borderId="14" xfId="0" applyFont="1" applyFill="1" applyBorder="1" applyAlignment="1" applyProtection="1">
      <alignment horizontal="center"/>
      <protection locked="0"/>
    </xf>
    <xf numFmtId="0" fontId="45" fillId="3" borderId="1" xfId="0" applyFont="1" applyFill="1" applyBorder="1" applyAlignment="1" applyProtection="1">
      <alignment horizontal="center"/>
      <protection locked="0"/>
    </xf>
    <xf numFmtId="0" fontId="36" fillId="3" borderId="0" xfId="1" applyFont="1" applyFill="1"/>
    <xf numFmtId="0" fontId="38" fillId="3" borderId="0" xfId="1" applyFont="1" applyFill="1"/>
    <xf numFmtId="0" fontId="3" fillId="3" borderId="0" xfId="1" applyFill="1" applyProtection="1">
      <protection locked="0"/>
    </xf>
    <xf numFmtId="0" fontId="3" fillId="0" borderId="0" xfId="1" applyProtection="1">
      <protection locked="0"/>
    </xf>
    <xf numFmtId="0" fontId="3" fillId="0" borderId="0" xfId="1"/>
    <xf numFmtId="0" fontId="30" fillId="10" borderId="0" xfId="1" applyFont="1" applyFill="1"/>
    <xf numFmtId="0" fontId="3" fillId="0" borderId="0" xfId="1" applyAlignment="1" applyProtection="1">
      <alignment horizontal="right"/>
      <protection locked="0"/>
    </xf>
    <xf numFmtId="0" fontId="3" fillId="3" borderId="0" xfId="1" applyFill="1" applyAlignment="1">
      <alignment horizontal="center" vertical="center"/>
    </xf>
    <xf numFmtId="0" fontId="36" fillId="10" borderId="0" xfId="1" applyFont="1" applyFill="1" applyAlignment="1">
      <alignment horizontal="center" vertical="center"/>
    </xf>
    <xf numFmtId="0" fontId="3" fillId="10" borderId="0" xfId="1" applyFill="1"/>
    <xf numFmtId="0" fontId="21" fillId="10" borderId="0" xfId="1" applyFont="1" applyFill="1"/>
    <xf numFmtId="0" fontId="38" fillId="10" borderId="0" xfId="1" applyFont="1" applyFill="1"/>
    <xf numFmtId="0" fontId="3" fillId="3" borderId="0" xfId="1" applyFill="1" applyAlignment="1">
      <alignment horizontal="left"/>
    </xf>
    <xf numFmtId="0" fontId="3" fillId="0" borderId="0" xfId="1" applyAlignment="1" applyProtection="1">
      <alignment horizontal="center"/>
      <protection locked="0"/>
    </xf>
    <xf numFmtId="0" fontId="3" fillId="4" borderId="6" xfId="1" applyFill="1" applyBorder="1" applyAlignment="1" applyProtection="1">
      <alignment horizontal="center"/>
      <protection locked="0"/>
    </xf>
    <xf numFmtId="0" fontId="36" fillId="10" borderId="0" xfId="1" applyFont="1" applyFill="1"/>
    <xf numFmtId="0" fontId="46" fillId="10" borderId="23" xfId="1" applyFont="1" applyFill="1" applyBorder="1"/>
    <xf numFmtId="0" fontId="31" fillId="10" borderId="7" xfId="1" applyFont="1" applyFill="1" applyBorder="1"/>
    <xf numFmtId="0" fontId="31" fillId="10" borderId="24" xfId="1" applyFont="1" applyFill="1" applyBorder="1"/>
    <xf numFmtId="0" fontId="30" fillId="10" borderId="0" xfId="1" applyFont="1" applyFill="1" applyAlignment="1">
      <alignment horizontal="left" vertical="center"/>
    </xf>
    <xf numFmtId="0" fontId="37" fillId="10" borderId="0" xfId="1" applyFont="1" applyFill="1" applyAlignment="1">
      <alignment horizontal="center" vertical="center"/>
    </xf>
    <xf numFmtId="0" fontId="32" fillId="10" borderId="0" xfId="1" applyFont="1" applyFill="1" applyAlignment="1">
      <alignment horizontal="center"/>
    </xf>
    <xf numFmtId="0" fontId="31" fillId="10" borderId="27" xfId="1" applyFont="1" applyFill="1" applyBorder="1"/>
    <xf numFmtId="0" fontId="30" fillId="10" borderId="16" xfId="1" applyFont="1" applyFill="1" applyBorder="1"/>
    <xf numFmtId="0" fontId="30" fillId="10" borderId="28" xfId="1" applyFont="1" applyFill="1" applyBorder="1"/>
    <xf numFmtId="0" fontId="36" fillId="3" borderId="0" xfId="1" applyFont="1" applyFill="1" applyAlignment="1">
      <alignment horizontal="left" vertical="center"/>
    </xf>
    <xf numFmtId="0" fontId="3" fillId="0" borderId="23" xfId="1" applyBorder="1" applyAlignment="1" applyProtection="1">
      <alignment horizontal="center"/>
      <protection locked="0"/>
    </xf>
    <xf numFmtId="0" fontId="3" fillId="0" borderId="7" xfId="1" applyBorder="1" applyAlignment="1" applyProtection="1">
      <alignment horizontal="center"/>
      <protection locked="0"/>
    </xf>
    <xf numFmtId="0" fontId="3" fillId="11" borderId="24" xfId="1" applyFill="1" applyBorder="1" applyAlignment="1" applyProtection="1">
      <alignment horizontal="center"/>
      <protection locked="0"/>
    </xf>
    <xf numFmtId="0" fontId="3" fillId="7" borderId="0" xfId="1" applyFill="1" applyProtection="1">
      <protection locked="0"/>
    </xf>
    <xf numFmtId="0" fontId="3" fillId="8" borderId="0" xfId="1" applyFill="1" applyProtection="1">
      <protection locked="0"/>
    </xf>
    <xf numFmtId="0" fontId="3" fillId="7" borderId="0" xfId="1" applyFill="1" applyAlignment="1" applyProtection="1">
      <alignment horizontal="center"/>
      <protection locked="0"/>
    </xf>
    <xf numFmtId="0" fontId="22" fillId="10" borderId="0" xfId="1" applyFont="1" applyFill="1" applyAlignment="1">
      <alignment horizontal="center"/>
    </xf>
    <xf numFmtId="0" fontId="23" fillId="10" borderId="25" xfId="1" applyFont="1" applyFill="1" applyBorder="1"/>
    <xf numFmtId="0" fontId="31" fillId="10" borderId="0" xfId="1" applyFont="1" applyFill="1"/>
    <xf numFmtId="0" fontId="31" fillId="10" borderId="26" xfId="1" applyFont="1" applyFill="1" applyBorder="1"/>
    <xf numFmtId="0" fontId="36" fillId="10" borderId="0" xfId="1" applyFont="1" applyFill="1" applyAlignment="1">
      <alignment horizontal="left" vertical="center"/>
    </xf>
    <xf numFmtId="0" fontId="33" fillId="10" borderId="0" xfId="1" applyFont="1" applyFill="1" applyAlignment="1">
      <alignment horizontal="left" vertical="center"/>
    </xf>
    <xf numFmtId="0" fontId="36" fillId="0" borderId="0" xfId="1" applyFont="1"/>
    <xf numFmtId="0" fontId="3" fillId="0" borderId="25" xfId="1" applyBorder="1" applyAlignment="1" applyProtection="1">
      <alignment horizontal="center"/>
      <protection locked="0"/>
    </xf>
    <xf numFmtId="0" fontId="3" fillId="11" borderId="26" xfId="1" applyFill="1" applyBorder="1" applyAlignment="1" applyProtection="1">
      <alignment horizontal="center"/>
      <protection locked="0"/>
    </xf>
    <xf numFmtId="0" fontId="50" fillId="10" borderId="27" xfId="1" applyFont="1" applyFill="1" applyBorder="1"/>
    <xf numFmtId="0" fontId="3" fillId="0" borderId="18" xfId="1" applyBorder="1" applyAlignment="1" applyProtection="1">
      <alignment horizontal="center"/>
      <protection locked="0"/>
    </xf>
    <xf numFmtId="0" fontId="3" fillId="0" borderId="17" xfId="1" applyBorder="1" applyAlignment="1" applyProtection="1">
      <alignment horizontal="center"/>
      <protection locked="0"/>
    </xf>
    <xf numFmtId="0" fontId="3" fillId="11" borderId="22" xfId="1" applyFill="1" applyBorder="1" applyAlignment="1" applyProtection="1">
      <alignment horizontal="center"/>
      <protection locked="0"/>
    </xf>
    <xf numFmtId="0" fontId="23" fillId="10" borderId="18" xfId="1" applyFont="1" applyFill="1" applyBorder="1"/>
    <xf numFmtId="0" fontId="31" fillId="10" borderId="17" xfId="1" applyFont="1" applyFill="1" applyBorder="1"/>
    <xf numFmtId="0" fontId="31" fillId="10" borderId="22" xfId="1" applyFont="1" applyFill="1" applyBorder="1"/>
    <xf numFmtId="0" fontId="31" fillId="10" borderId="23" xfId="1" applyFont="1" applyFill="1" applyBorder="1"/>
    <xf numFmtId="0" fontId="31" fillId="10" borderId="18" xfId="1" applyFont="1" applyFill="1" applyBorder="1"/>
    <xf numFmtId="0" fontId="38" fillId="10" borderId="0" xfId="1" applyFont="1" applyFill="1" applyAlignment="1">
      <alignment horizontal="center" vertical="center"/>
    </xf>
    <xf numFmtId="0" fontId="36" fillId="0" borderId="0" xfId="1" applyFont="1" applyAlignment="1">
      <alignment horizontal="left" vertical="center"/>
    </xf>
    <xf numFmtId="0" fontId="3" fillId="14" borderId="24" xfId="1" applyFill="1" applyBorder="1" applyAlignment="1" applyProtection="1">
      <alignment horizontal="center"/>
      <protection locked="0"/>
    </xf>
    <xf numFmtId="0" fontId="3" fillId="9" borderId="22" xfId="1" applyFill="1" applyBorder="1" applyAlignment="1" applyProtection="1">
      <alignment horizontal="center"/>
      <protection locked="0"/>
    </xf>
    <xf numFmtId="0" fontId="38" fillId="10" borderId="0" xfId="1" applyFont="1" applyFill="1" applyAlignment="1">
      <alignment horizontal="left" vertical="center"/>
    </xf>
    <xf numFmtId="0" fontId="3" fillId="11" borderId="28" xfId="1" applyFill="1" applyBorder="1" applyAlignment="1" applyProtection="1">
      <alignment horizontal="center"/>
      <protection locked="0"/>
    </xf>
    <xf numFmtId="0" fontId="3" fillId="7" borderId="7" xfId="1" applyFill="1" applyBorder="1" applyProtection="1">
      <protection locked="0"/>
    </xf>
    <xf numFmtId="0" fontId="3" fillId="8" borderId="24" xfId="1" applyFill="1" applyBorder="1" applyProtection="1">
      <protection locked="0"/>
    </xf>
    <xf numFmtId="0" fontId="53" fillId="10" borderId="0" xfId="1" applyFont="1" applyFill="1"/>
    <xf numFmtId="0" fontId="3" fillId="7" borderId="17" xfId="1" applyFill="1" applyBorder="1" applyProtection="1">
      <protection locked="0"/>
    </xf>
    <xf numFmtId="0" fontId="3" fillId="8" borderId="22" xfId="1" applyFill="1" applyBorder="1" applyProtection="1">
      <protection locked="0"/>
    </xf>
    <xf numFmtId="0" fontId="3" fillId="12" borderId="23" xfId="1" applyFill="1" applyBorder="1" applyAlignment="1" applyProtection="1">
      <alignment horizontal="center"/>
      <protection locked="0"/>
    </xf>
    <xf numFmtId="0" fontId="3" fillId="12" borderId="7" xfId="1" applyFill="1" applyBorder="1" applyAlignment="1" applyProtection="1">
      <alignment horizontal="center"/>
      <protection locked="0"/>
    </xf>
    <xf numFmtId="0" fontId="30" fillId="0" borderId="7" xfId="1" applyFont="1" applyBorder="1"/>
    <xf numFmtId="0" fontId="30" fillId="0" borderId="24" xfId="1" applyFont="1" applyBorder="1"/>
    <xf numFmtId="0" fontId="31" fillId="10" borderId="23" xfId="1" applyFont="1" applyFill="1" applyBorder="1" applyAlignment="1">
      <alignment horizontal="left"/>
    </xf>
    <xf numFmtId="0" fontId="31" fillId="10" borderId="25" xfId="1" applyFont="1" applyFill="1" applyBorder="1"/>
    <xf numFmtId="0" fontId="30" fillId="10" borderId="26" xfId="1" applyFont="1" applyFill="1" applyBorder="1"/>
    <xf numFmtId="0" fontId="31" fillId="10" borderId="18" xfId="1" applyFont="1" applyFill="1" applyBorder="1" applyAlignment="1">
      <alignment horizontal="left"/>
    </xf>
    <xf numFmtId="0" fontId="30" fillId="10" borderId="17" xfId="1" applyFont="1" applyFill="1" applyBorder="1"/>
    <xf numFmtId="0" fontId="30" fillId="10" borderId="22" xfId="1" applyFont="1" applyFill="1" applyBorder="1"/>
    <xf numFmtId="0" fontId="3" fillId="0" borderId="27" xfId="1" applyBorder="1" applyAlignment="1" applyProtection="1">
      <alignment horizontal="center"/>
      <protection locked="0"/>
    </xf>
    <xf numFmtId="0" fontId="3" fillId="0" borderId="16" xfId="1" applyBorder="1" applyAlignment="1" applyProtection="1">
      <alignment horizontal="center"/>
      <protection locked="0"/>
    </xf>
    <xf numFmtId="0" fontId="3" fillId="15" borderId="16" xfId="1" quotePrefix="1" applyFill="1" applyBorder="1" applyAlignment="1" applyProtection="1">
      <alignment horizontal="center"/>
      <protection locked="0"/>
    </xf>
    <xf numFmtId="0" fontId="3" fillId="0" borderId="28" xfId="1" applyBorder="1" applyAlignment="1" applyProtection="1">
      <alignment horizontal="center"/>
      <protection locked="0"/>
    </xf>
    <xf numFmtId="0" fontId="3" fillId="9" borderId="0" xfId="1" applyFill="1" applyAlignment="1" applyProtection="1">
      <alignment horizontal="center"/>
      <protection locked="0"/>
    </xf>
    <xf numFmtId="0" fontId="3" fillId="15" borderId="0" xfId="1" quotePrefix="1" applyFill="1" applyAlignment="1" applyProtection="1">
      <alignment horizontal="center"/>
      <protection locked="0"/>
    </xf>
    <xf numFmtId="0" fontId="30" fillId="10" borderId="7" xfId="1" applyFont="1" applyFill="1" applyBorder="1"/>
    <xf numFmtId="0" fontId="30" fillId="10" borderId="24" xfId="1" applyFont="1" applyFill="1" applyBorder="1"/>
    <xf numFmtId="0" fontId="35" fillId="3" borderId="0" xfId="1" applyFont="1" applyFill="1" applyAlignment="1">
      <alignment horizontal="center"/>
    </xf>
    <xf numFmtId="0" fontId="3" fillId="15" borderId="0" xfId="1" applyFill="1" applyAlignment="1" applyProtection="1">
      <alignment horizontal="center"/>
      <protection locked="0"/>
    </xf>
    <xf numFmtId="0" fontId="3" fillId="4" borderId="0" xfId="1" applyFill="1" applyAlignment="1" applyProtection="1">
      <alignment horizontal="center"/>
      <protection locked="0"/>
    </xf>
    <xf numFmtId="0" fontId="36" fillId="10" borderId="0" xfId="1" applyFont="1" applyFill="1" applyAlignment="1">
      <alignment horizontal="left"/>
    </xf>
    <xf numFmtId="0" fontId="3" fillId="10" borderId="0" xfId="1" applyFill="1" applyAlignment="1">
      <alignment horizontal="center"/>
    </xf>
    <xf numFmtId="0" fontId="56" fillId="10" borderId="0" xfId="1" applyFont="1" applyFill="1" applyAlignment="1">
      <alignment vertical="top"/>
    </xf>
    <xf numFmtId="0" fontId="3" fillId="10" borderId="0" xfId="1" applyFill="1" applyAlignment="1">
      <alignment horizontal="left"/>
    </xf>
    <xf numFmtId="0" fontId="3" fillId="15" borderId="7" xfId="1" quotePrefix="1" applyFill="1" applyBorder="1" applyAlignment="1" applyProtection="1">
      <alignment horizontal="center"/>
      <protection locked="0"/>
    </xf>
    <xf numFmtId="0" fontId="3" fillId="15" borderId="7" xfId="1" applyFill="1" applyBorder="1" applyAlignment="1" applyProtection="1">
      <alignment horizontal="center"/>
      <protection locked="0"/>
    </xf>
    <xf numFmtId="0" fontId="30" fillId="0" borderId="0" xfId="1" applyFont="1"/>
    <xf numFmtId="0" fontId="3" fillId="0" borderId="18" xfId="1" applyBorder="1" applyProtection="1">
      <protection locked="0"/>
    </xf>
    <xf numFmtId="0" fontId="3" fillId="15" borderId="17" xfId="1" quotePrefix="1" applyFill="1" applyBorder="1" applyAlignment="1" applyProtection="1">
      <alignment horizontal="center"/>
      <protection locked="0"/>
    </xf>
    <xf numFmtId="0" fontId="3" fillId="15" borderId="17" xfId="1" applyFill="1" applyBorder="1" applyAlignment="1" applyProtection="1">
      <alignment horizontal="center"/>
      <protection locked="0"/>
    </xf>
    <xf numFmtId="0" fontId="50" fillId="10" borderId="0" xfId="1" applyFont="1" applyFill="1"/>
    <xf numFmtId="0" fontId="3" fillId="15" borderId="16" xfId="1" applyFill="1" applyBorder="1" applyAlignment="1" applyProtection="1">
      <alignment horizontal="center"/>
      <protection locked="0"/>
    </xf>
    <xf numFmtId="0" fontId="3" fillId="3" borderId="0" xfId="1" applyFill="1" applyAlignment="1" applyProtection="1">
      <alignment horizontal="center"/>
      <protection locked="0"/>
    </xf>
    <xf numFmtId="0" fontId="3" fillId="7" borderId="7" xfId="1" applyFill="1" applyBorder="1" applyAlignment="1" applyProtection="1">
      <alignment horizontal="center"/>
      <protection locked="0"/>
    </xf>
    <xf numFmtId="0" fontId="3" fillId="0" borderId="24" xfId="1" applyBorder="1" applyAlignment="1" applyProtection="1">
      <alignment horizontal="center"/>
      <protection locked="0"/>
    </xf>
    <xf numFmtId="0" fontId="3" fillId="0" borderId="26" xfId="1" applyBorder="1" applyAlignment="1" applyProtection="1">
      <alignment horizontal="center"/>
      <protection locked="0"/>
    </xf>
    <xf numFmtId="0" fontId="57" fillId="10" borderId="0" xfId="1" applyFont="1" applyFill="1"/>
    <xf numFmtId="0" fontId="3" fillId="7" borderId="17" xfId="1" applyFill="1" applyBorder="1" applyAlignment="1" applyProtection="1">
      <alignment horizontal="center"/>
      <protection locked="0"/>
    </xf>
    <xf numFmtId="0" fontId="3" fillId="4" borderId="17" xfId="1" applyFill="1" applyBorder="1" applyAlignment="1" applyProtection="1">
      <alignment horizontal="center"/>
      <protection locked="0"/>
    </xf>
    <xf numFmtId="0" fontId="3" fillId="0" borderId="22" xfId="1" applyBorder="1" applyAlignment="1" applyProtection="1">
      <alignment horizontal="center"/>
      <protection locked="0"/>
    </xf>
    <xf numFmtId="0" fontId="3" fillId="0" borderId="5" xfId="1" applyBorder="1" applyAlignment="1" applyProtection="1">
      <alignment horizontal="center"/>
      <protection locked="0"/>
    </xf>
    <xf numFmtId="0" fontId="3" fillId="0" borderId="27" xfId="1" applyBorder="1" applyProtection="1">
      <protection locked="0"/>
    </xf>
    <xf numFmtId="0" fontId="3" fillId="0" borderId="16" xfId="1" applyBorder="1" applyProtection="1">
      <protection locked="0"/>
    </xf>
    <xf numFmtId="0" fontId="3" fillId="0" borderId="28" xfId="1" applyBorder="1" applyProtection="1">
      <protection locked="0"/>
    </xf>
    <xf numFmtId="0" fontId="22" fillId="0" borderId="0" xfId="1" applyFont="1" applyProtection="1">
      <protection locked="0"/>
    </xf>
    <xf numFmtId="0" fontId="3" fillId="0" borderId="7" xfId="1" applyBorder="1" applyProtection="1">
      <protection locked="0"/>
    </xf>
    <xf numFmtId="0" fontId="3" fillId="0" borderId="23" xfId="1" applyBorder="1" applyProtection="1">
      <protection locked="0"/>
    </xf>
    <xf numFmtId="0" fontId="3" fillId="0" borderId="24" xfId="1" applyBorder="1" applyProtection="1">
      <protection locked="0"/>
    </xf>
    <xf numFmtId="0" fontId="3" fillId="0" borderId="26" xfId="1" applyBorder="1" applyProtection="1">
      <protection locked="0"/>
    </xf>
    <xf numFmtId="0" fontId="23" fillId="8" borderId="5" xfId="1" applyFont="1" applyFill="1" applyBorder="1" applyAlignment="1" applyProtection="1">
      <alignment horizontal="center"/>
      <protection locked="0"/>
    </xf>
    <xf numFmtId="0" fontId="3" fillId="3" borderId="0" xfId="1" applyFill="1" applyAlignment="1" applyProtection="1">
      <alignment horizontal="right"/>
      <protection locked="0"/>
    </xf>
    <xf numFmtId="0" fontId="3" fillId="3" borderId="3" xfId="1" applyFill="1" applyBorder="1" applyProtection="1">
      <protection locked="0"/>
    </xf>
    <xf numFmtId="0" fontId="3" fillId="0" borderId="25" xfId="1" applyBorder="1" applyProtection="1">
      <protection locked="0"/>
    </xf>
    <xf numFmtId="0" fontId="3" fillId="3" borderId="1" xfId="1" applyFill="1" applyBorder="1" applyProtection="1">
      <protection locked="0"/>
    </xf>
    <xf numFmtId="0" fontId="3" fillId="0" borderId="17" xfId="1" applyBorder="1" applyProtection="1">
      <protection locked="0"/>
    </xf>
    <xf numFmtId="0" fontId="3" fillId="0" borderId="22" xfId="1" applyBorder="1" applyProtection="1">
      <protection locked="0"/>
    </xf>
    <xf numFmtId="0" fontId="3" fillId="0" borderId="2" xfId="1" applyBorder="1" applyProtection="1">
      <protection locked="0"/>
    </xf>
    <xf numFmtId="0" fontId="3" fillId="8" borderId="18" xfId="1" applyFill="1" applyBorder="1" applyProtection="1">
      <protection locked="0"/>
    </xf>
    <xf numFmtId="0" fontId="3" fillId="3" borderId="5" xfId="1" applyFill="1" applyBorder="1" applyAlignment="1" applyProtection="1">
      <alignment horizontal="center"/>
      <protection locked="0"/>
    </xf>
    <xf numFmtId="0" fontId="38" fillId="0" borderId="0" xfId="1" applyFont="1"/>
    <xf numFmtId="0" fontId="3" fillId="0" borderId="0" xfId="1" applyAlignment="1">
      <alignment horizontal="center"/>
    </xf>
    <xf numFmtId="0" fontId="58" fillId="0" borderId="12" xfId="0" applyFont="1" applyBorder="1" applyAlignment="1">
      <alignment horizontal="center" textRotation="90"/>
    </xf>
    <xf numFmtId="0" fontId="58" fillId="3" borderId="16" xfId="0" applyFont="1" applyFill="1" applyBorder="1" applyAlignment="1">
      <alignment horizontal="center"/>
    </xf>
    <xf numFmtId="0" fontId="58" fillId="0" borderId="8" xfId="0" applyFont="1" applyBorder="1" applyAlignment="1">
      <alignment horizontal="center" textRotation="90"/>
    </xf>
    <xf numFmtId="0" fontId="26" fillId="0" borderId="3" xfId="0" applyFont="1" applyBorder="1" applyAlignment="1">
      <alignment horizontal="center"/>
    </xf>
    <xf numFmtId="0" fontId="26" fillId="0" borderId="1" xfId="0" applyFont="1" applyBorder="1" applyAlignment="1">
      <alignment horizontal="center"/>
    </xf>
    <xf numFmtId="0" fontId="26" fillId="0" borderId="3" xfId="0" applyFont="1" applyBorder="1" applyAlignment="1">
      <alignment horizontal="left" indent="2"/>
    </xf>
    <xf numFmtId="0" fontId="59" fillId="5" borderId="18" xfId="0" applyFont="1" applyFill="1" applyBorder="1"/>
    <xf numFmtId="0" fontId="26" fillId="9" borderId="0" xfId="0" applyFont="1" applyFill="1"/>
    <xf numFmtId="0" fontId="61" fillId="9" borderId="0" xfId="0" applyFont="1" applyFill="1"/>
    <xf numFmtId="0" fontId="59" fillId="9" borderId="0" xfId="0" applyFont="1" applyFill="1"/>
    <xf numFmtId="0" fontId="45" fillId="9" borderId="0" xfId="0" applyFont="1" applyFill="1"/>
    <xf numFmtId="0" fontId="62" fillId="9" borderId="0" xfId="0" applyFont="1" applyFill="1"/>
    <xf numFmtId="0" fontId="45" fillId="9" borderId="17" xfId="0" applyFont="1" applyFill="1" applyBorder="1"/>
    <xf numFmtId="0" fontId="63" fillId="9" borderId="17" xfId="0" applyFont="1" applyFill="1" applyBorder="1"/>
    <xf numFmtId="0" fontId="27" fillId="0" borderId="12" xfId="0" applyFont="1" applyBorder="1" applyAlignment="1">
      <alignment horizontal="center" textRotation="90"/>
    </xf>
    <xf numFmtId="0" fontId="27" fillId="3" borderId="16" xfId="0" applyFont="1" applyFill="1" applyBorder="1" applyAlignment="1">
      <alignment horizontal="center"/>
    </xf>
    <xf numFmtId="0" fontId="27" fillId="0" borderId="8" xfId="0" applyFont="1" applyBorder="1" applyAlignment="1">
      <alignment horizontal="center" textRotation="90"/>
    </xf>
    <xf numFmtId="0" fontId="64" fillId="0" borderId="3" xfId="0" applyFont="1" applyBorder="1" applyAlignment="1">
      <alignment horizontal="center"/>
    </xf>
    <xf numFmtId="0" fontId="64" fillId="0" borderId="1" xfId="0" applyFont="1" applyBorder="1" applyAlignment="1">
      <alignment horizontal="center"/>
    </xf>
    <xf numFmtId="0" fontId="64" fillId="0" borderId="1" xfId="0" applyFont="1" applyBorder="1" applyAlignment="1">
      <alignment horizontal="left" indent="2"/>
    </xf>
    <xf numFmtId="0" fontId="45" fillId="0" borderId="0" xfId="0" applyFont="1"/>
    <xf numFmtId="0" fontId="44" fillId="0" borderId="32" xfId="0" applyFont="1" applyBorder="1" applyAlignment="1">
      <alignment horizontal="center"/>
    </xf>
    <xf numFmtId="0" fontId="45" fillId="0" borderId="32" xfId="0" applyFont="1" applyBorder="1"/>
    <xf numFmtId="0" fontId="45" fillId="0" borderId="1" xfId="0" applyFont="1" applyBorder="1" applyAlignment="1" applyProtection="1">
      <alignment horizontal="left"/>
      <protection locked="0"/>
    </xf>
    <xf numFmtId="0" fontId="45" fillId="0" borderId="32" xfId="3" applyFont="1" applyFill="1" applyBorder="1" applyAlignment="1"/>
    <xf numFmtId="0" fontId="10" fillId="0" borderId="0" xfId="0" applyFont="1" applyAlignment="1">
      <alignment horizontal="center"/>
    </xf>
    <xf numFmtId="0" fontId="13" fillId="0" borderId="1" xfId="0" applyFont="1" applyBorder="1" applyAlignment="1">
      <alignment horizontal="center" textRotation="90"/>
    </xf>
    <xf numFmtId="0" fontId="2" fillId="0" borderId="0" xfId="0" applyFont="1" applyAlignment="1">
      <alignment horizontal="center"/>
    </xf>
    <xf numFmtId="0" fontId="12" fillId="0" borderId="4" xfId="0" applyFont="1" applyBorder="1" applyAlignment="1">
      <alignment horizontal="center"/>
    </xf>
    <xf numFmtId="0" fontId="12" fillId="0" borderId="10" xfId="0" applyFont="1" applyBorder="1" applyAlignment="1">
      <alignment horizontal="center"/>
    </xf>
    <xf numFmtId="0" fontId="3" fillId="3" borderId="0" xfId="0" applyFont="1" applyFill="1"/>
    <xf numFmtId="0" fontId="28" fillId="3" borderId="14" xfId="0" applyFont="1" applyFill="1" applyBorder="1" applyAlignment="1" applyProtection="1">
      <alignment horizontal="left"/>
      <protection locked="0"/>
    </xf>
    <xf numFmtId="0" fontId="28" fillId="3" borderId="15" xfId="0" applyFont="1" applyFill="1" applyBorder="1" applyAlignment="1" applyProtection="1">
      <alignment horizontal="left"/>
      <protection locked="0"/>
    </xf>
    <xf numFmtId="4" fontId="64" fillId="0" borderId="1" xfId="0" applyNumberFormat="1" applyFont="1" applyBorder="1" applyAlignment="1">
      <alignment horizontal="left" indent="2"/>
    </xf>
    <xf numFmtId="0" fontId="67" fillId="0" borderId="32" xfId="0" applyFont="1" applyBorder="1"/>
    <xf numFmtId="0" fontId="67" fillId="0" borderId="32" xfId="3" applyFont="1" applyFill="1" applyBorder="1" applyAlignment="1"/>
    <xf numFmtId="0" fontId="25" fillId="2" borderId="17" xfId="0" applyFont="1" applyFill="1" applyBorder="1" applyAlignment="1">
      <alignment horizontal="center"/>
    </xf>
    <xf numFmtId="0" fontId="55" fillId="3" borderId="6" xfId="1" applyFont="1" applyFill="1" applyBorder="1" applyAlignment="1">
      <alignment horizontal="center" vertical="center"/>
    </xf>
    <xf numFmtId="0" fontId="55" fillId="3" borderId="30" xfId="1" applyFont="1" applyFill="1" applyBorder="1" applyAlignment="1">
      <alignment horizontal="center" vertical="center"/>
    </xf>
    <xf numFmtId="0" fontId="55" fillId="3" borderId="29" xfId="1" applyFont="1" applyFill="1" applyBorder="1" applyAlignment="1">
      <alignment horizontal="center" vertical="center"/>
    </xf>
    <xf numFmtId="0" fontId="60" fillId="0" borderId="0" xfId="0" applyFont="1" applyAlignment="1">
      <alignment horizontal="center"/>
    </xf>
    <xf numFmtId="0" fontId="9" fillId="0" borderId="17" xfId="0" applyFont="1" applyBorder="1" applyAlignment="1">
      <alignment horizontal="center"/>
    </xf>
    <xf numFmtId="0" fontId="59" fillId="5" borderId="19" xfId="0" applyFont="1" applyFill="1" applyBorder="1" applyAlignment="1">
      <alignment horizontal="center"/>
    </xf>
    <xf numFmtId="0" fontId="59" fillId="5" borderId="20" xfId="0" applyFont="1" applyFill="1" applyBorder="1" applyAlignment="1">
      <alignment horizontal="center"/>
    </xf>
    <xf numFmtId="0" fontId="59" fillId="5" borderId="21" xfId="0" applyFont="1" applyFill="1" applyBorder="1" applyAlignment="1">
      <alignment horizontal="center"/>
    </xf>
    <xf numFmtId="0" fontId="59" fillId="5" borderId="17" xfId="0" applyFont="1" applyFill="1" applyBorder="1" applyAlignment="1">
      <alignment horizontal="left"/>
    </xf>
    <xf numFmtId="0" fontId="59" fillId="5" borderId="22" xfId="0" applyFont="1" applyFill="1" applyBorder="1" applyAlignment="1">
      <alignment horizontal="left"/>
    </xf>
    <xf numFmtId="0" fontId="5" fillId="9" borderId="0" xfId="0" applyFont="1" applyFill="1" applyAlignment="1">
      <alignment horizontal="left" vertical="center"/>
    </xf>
    <xf numFmtId="0" fontId="63" fillId="9" borderId="17" xfId="0" applyFont="1" applyFill="1" applyBorder="1" applyAlignment="1">
      <alignment horizontal="center"/>
    </xf>
    <xf numFmtId="0" fontId="14" fillId="9" borderId="0" xfId="0" applyFont="1" applyFill="1" applyAlignment="1">
      <alignment horizontal="left"/>
    </xf>
    <xf numFmtId="0" fontId="18" fillId="4" borderId="0" xfId="0" applyFont="1" applyFill="1" applyAlignment="1">
      <alignment horizontal="center"/>
    </xf>
    <xf numFmtId="0" fontId="17" fillId="4" borderId="7" xfId="0" applyFont="1" applyFill="1" applyBorder="1" applyAlignment="1">
      <alignment horizontal="center" vertical="center"/>
    </xf>
    <xf numFmtId="0" fontId="17" fillId="4" borderId="17" xfId="0" applyFont="1" applyFill="1" applyBorder="1" applyAlignment="1">
      <alignment horizontal="center" vertical="center"/>
    </xf>
    <xf numFmtId="0" fontId="17" fillId="4" borderId="0" xfId="0" applyFont="1" applyFill="1" applyAlignment="1">
      <alignment horizontal="center" vertical="center"/>
    </xf>
    <xf numFmtId="0" fontId="10" fillId="3" borderId="23" xfId="0" applyFont="1" applyFill="1" applyBorder="1" applyAlignment="1">
      <alignment horizontal="center" vertical="center"/>
    </xf>
    <xf numFmtId="0" fontId="10" fillId="3" borderId="7" xfId="0" applyFont="1" applyFill="1" applyBorder="1" applyAlignment="1">
      <alignment horizontal="center" vertical="center"/>
    </xf>
    <xf numFmtId="0" fontId="10" fillId="3" borderId="24" xfId="0" applyFont="1" applyFill="1" applyBorder="1" applyAlignment="1">
      <alignment horizontal="center" vertical="center"/>
    </xf>
    <xf numFmtId="0" fontId="10" fillId="3" borderId="25" xfId="0" applyFont="1" applyFill="1" applyBorder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0" fontId="10" fillId="3" borderId="26" xfId="0" applyFont="1" applyFill="1" applyBorder="1" applyAlignment="1">
      <alignment horizontal="center" vertical="center"/>
    </xf>
    <xf numFmtId="0" fontId="10" fillId="3" borderId="18" xfId="0" applyFont="1" applyFill="1" applyBorder="1" applyAlignment="1">
      <alignment horizontal="center" vertical="center"/>
    </xf>
    <xf numFmtId="0" fontId="10" fillId="3" borderId="17" xfId="0" applyFont="1" applyFill="1" applyBorder="1" applyAlignment="1">
      <alignment horizontal="center" vertical="center"/>
    </xf>
    <xf numFmtId="0" fontId="10" fillId="3" borderId="22" xfId="0" applyFont="1" applyFill="1" applyBorder="1" applyAlignment="1">
      <alignment horizontal="center" vertical="center"/>
    </xf>
    <xf numFmtId="0" fontId="66" fillId="3" borderId="23" xfId="0" applyFont="1" applyFill="1" applyBorder="1" applyAlignment="1" applyProtection="1">
      <alignment horizontal="center" vertical="center"/>
      <protection locked="0"/>
    </xf>
    <xf numFmtId="0" fontId="66" fillId="3" borderId="7" xfId="0" applyFont="1" applyFill="1" applyBorder="1" applyAlignment="1" applyProtection="1">
      <alignment horizontal="center" vertical="center"/>
      <protection locked="0"/>
    </xf>
    <xf numFmtId="0" fontId="66" fillId="3" borderId="24" xfId="0" applyFont="1" applyFill="1" applyBorder="1" applyAlignment="1" applyProtection="1">
      <alignment horizontal="center" vertical="center"/>
      <protection locked="0"/>
    </xf>
    <xf numFmtId="0" fontId="66" fillId="3" borderId="25" xfId="0" applyFont="1" applyFill="1" applyBorder="1" applyAlignment="1" applyProtection="1">
      <alignment horizontal="center" vertical="center"/>
      <protection locked="0"/>
    </xf>
    <xf numFmtId="0" fontId="66" fillId="3" borderId="0" xfId="0" applyFont="1" applyFill="1" applyAlignment="1" applyProtection="1">
      <alignment horizontal="center" vertical="center"/>
      <protection locked="0"/>
    </xf>
    <xf numFmtId="0" fontId="66" fillId="3" borderId="26" xfId="0" applyFont="1" applyFill="1" applyBorder="1" applyAlignment="1" applyProtection="1">
      <alignment horizontal="center" vertical="center"/>
      <protection locked="0"/>
    </xf>
    <xf numFmtId="0" fontId="66" fillId="3" borderId="18" xfId="0" applyFont="1" applyFill="1" applyBorder="1" applyAlignment="1" applyProtection="1">
      <alignment horizontal="center" vertical="center"/>
      <protection locked="0"/>
    </xf>
    <xf numFmtId="0" fontId="66" fillId="3" borderId="17" xfId="0" applyFont="1" applyFill="1" applyBorder="1" applyAlignment="1" applyProtection="1">
      <alignment horizontal="center" vertical="center"/>
      <protection locked="0"/>
    </xf>
    <xf numFmtId="0" fontId="66" fillId="3" borderId="22" xfId="0" applyFont="1" applyFill="1" applyBorder="1" applyAlignment="1" applyProtection="1">
      <alignment horizontal="center" vertical="center"/>
      <protection locked="0"/>
    </xf>
    <xf numFmtId="0" fontId="14" fillId="4" borderId="0" xfId="0" applyFont="1" applyFill="1" applyAlignment="1">
      <alignment horizontal="center"/>
    </xf>
    <xf numFmtId="0" fontId="5" fillId="3" borderId="23" xfId="0" applyFont="1" applyFill="1" applyBorder="1" applyAlignment="1" applyProtection="1">
      <alignment horizontal="center" vertical="center"/>
      <protection locked="0"/>
    </xf>
    <xf numFmtId="0" fontId="5" fillId="3" borderId="7" xfId="0" applyFont="1" applyFill="1" applyBorder="1" applyAlignment="1" applyProtection="1">
      <alignment horizontal="center" vertical="center"/>
      <protection locked="0"/>
    </xf>
    <xf numFmtId="0" fontId="5" fillId="3" borderId="24" xfId="0" applyFont="1" applyFill="1" applyBorder="1" applyAlignment="1" applyProtection="1">
      <alignment horizontal="center" vertical="center"/>
      <protection locked="0"/>
    </xf>
    <xf numFmtId="0" fontId="5" fillId="3" borderId="25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 applyAlignment="1" applyProtection="1">
      <alignment horizontal="center" vertical="center"/>
      <protection locked="0"/>
    </xf>
    <xf numFmtId="0" fontId="5" fillId="3" borderId="26" xfId="0" applyFont="1" applyFill="1" applyBorder="1" applyAlignment="1" applyProtection="1">
      <alignment horizontal="center" vertical="center"/>
      <protection locked="0"/>
    </xf>
    <xf numFmtId="0" fontId="5" fillId="3" borderId="18" xfId="0" applyFont="1" applyFill="1" applyBorder="1" applyAlignment="1" applyProtection="1">
      <alignment horizontal="center" vertical="center"/>
      <protection locked="0"/>
    </xf>
    <xf numFmtId="0" fontId="5" fillId="3" borderId="17" xfId="0" applyFont="1" applyFill="1" applyBorder="1" applyAlignment="1" applyProtection="1">
      <alignment horizontal="center" vertical="center"/>
      <protection locked="0"/>
    </xf>
    <xf numFmtId="0" fontId="5" fillId="3" borderId="22" xfId="0" applyFont="1" applyFill="1" applyBorder="1" applyAlignment="1" applyProtection="1">
      <alignment horizontal="center" vertical="center"/>
      <protection locked="0"/>
    </xf>
    <xf numFmtId="0" fontId="16" fillId="3" borderId="23" xfId="0" applyFont="1" applyFill="1" applyBorder="1" applyAlignment="1" applyProtection="1">
      <alignment horizontal="center"/>
      <protection locked="0"/>
    </xf>
    <xf numFmtId="0" fontId="16" fillId="3" borderId="7" xfId="0" applyFont="1" applyFill="1" applyBorder="1" applyAlignment="1" applyProtection="1">
      <alignment horizontal="center"/>
      <protection locked="0"/>
    </xf>
    <xf numFmtId="0" fontId="16" fillId="3" borderId="24" xfId="0" applyFont="1" applyFill="1" applyBorder="1" applyAlignment="1" applyProtection="1">
      <alignment horizontal="center"/>
      <protection locked="0"/>
    </xf>
    <xf numFmtId="0" fontId="16" fillId="3" borderId="25" xfId="0" applyFont="1" applyFill="1" applyBorder="1" applyAlignment="1" applyProtection="1">
      <alignment horizontal="center"/>
      <protection locked="0"/>
    </xf>
    <xf numFmtId="0" fontId="16" fillId="3" borderId="0" xfId="0" applyFont="1" applyFill="1" applyAlignment="1" applyProtection="1">
      <alignment horizontal="center"/>
      <protection locked="0"/>
    </xf>
    <xf numFmtId="0" fontId="16" fillId="3" borderId="26" xfId="0" applyFont="1" applyFill="1" applyBorder="1" applyAlignment="1" applyProtection="1">
      <alignment horizontal="center"/>
      <protection locked="0"/>
    </xf>
    <xf numFmtId="0" fontId="16" fillId="3" borderId="18" xfId="0" applyFont="1" applyFill="1" applyBorder="1" applyAlignment="1" applyProtection="1">
      <alignment horizontal="center"/>
      <protection locked="0"/>
    </xf>
    <xf numFmtId="0" fontId="16" fillId="3" borderId="17" xfId="0" applyFont="1" applyFill="1" applyBorder="1" applyAlignment="1" applyProtection="1">
      <alignment horizontal="center"/>
      <protection locked="0"/>
    </xf>
    <xf numFmtId="0" fontId="16" fillId="3" borderId="22" xfId="0" applyFont="1" applyFill="1" applyBorder="1" applyAlignment="1" applyProtection="1">
      <alignment horizontal="center"/>
      <protection locked="0"/>
    </xf>
    <xf numFmtId="0" fontId="15" fillId="4" borderId="0" xfId="0" applyFont="1" applyFill="1" applyAlignment="1">
      <alignment horizontal="center"/>
    </xf>
    <xf numFmtId="0" fontId="10" fillId="0" borderId="0" xfId="0" applyFont="1" applyAlignment="1">
      <alignment horizontal="center"/>
    </xf>
  </cellXfs>
  <cellStyles count="5">
    <cellStyle name="Good" xfId="3" builtinId="26"/>
    <cellStyle name="Normal" xfId="0" builtinId="0"/>
    <cellStyle name="Normal 2" xfId="1" xr:uid="{00000000-0005-0000-0000-000002000000}"/>
    <cellStyle name="Normal 3" xfId="4" xr:uid="{00000000-0005-0000-0000-000003000000}"/>
    <cellStyle name="Percent 2" xfId="2" xr:uid="{00000000-0005-0000-0000-000004000000}"/>
  </cellStyles>
  <dxfs count="6"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10"/>
      </font>
      <fill>
        <patternFill>
          <bgColor indexed="1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7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13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14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15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16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17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18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19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20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21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22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23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24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25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26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27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28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29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30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31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32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33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34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35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36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37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38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39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40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41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42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43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44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45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46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47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48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49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50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51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52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53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54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55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56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57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58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59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60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61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62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63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64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65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66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67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68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69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70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71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72.xml><?xml version="1.0" encoding="utf-8"?>
<ax:ocx xmlns:ax="http://schemas.microsoft.com/office/2006/activeX" xmlns:r="http://schemas.openxmlformats.org/officeDocument/2006/relationships" ax:classid="{8BD21D50-EC42-11CE-9E0D-00AA006002F3}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Drop" dropLines="55" dropStyle="combo" dx="16" fmlaLink="$AB$48" fmlaRange="Teams!$B$3:$B$50" noThreeD="1" sel="29" val="0"/>
</file>

<file path=xl/ctrlProps/ctrlProp5.xml><?xml version="1.0" encoding="utf-8"?>
<formControlPr xmlns="http://schemas.microsoft.com/office/spreadsheetml/2009/9/main" objectType="Drop" dropLines="4" dropStyle="combo" dx="16" fmlaLink="$X$47" fmlaRange="$X$48:$X$51" noThreeD="1" sel="4" val="0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4.png"/></Relationships>
</file>

<file path=xl/drawings/_rels/vmlDrawing1.vml.rels><?xml version="1.0" encoding="UTF-8" standalone="yes"?>
<Relationships xmlns="http://schemas.openxmlformats.org/package/2006/relationships"><Relationship Id="rId26" Type="http://schemas.openxmlformats.org/officeDocument/2006/relationships/image" Target="../media/image47.emf"/><Relationship Id="rId21" Type="http://schemas.openxmlformats.org/officeDocument/2006/relationships/image" Target="../media/image52.emf"/><Relationship Id="rId42" Type="http://schemas.openxmlformats.org/officeDocument/2006/relationships/image" Target="../media/image31.emf"/><Relationship Id="rId47" Type="http://schemas.openxmlformats.org/officeDocument/2006/relationships/image" Target="../media/image26.emf"/><Relationship Id="rId63" Type="http://schemas.openxmlformats.org/officeDocument/2006/relationships/image" Target="../media/image10.emf"/><Relationship Id="rId68" Type="http://schemas.openxmlformats.org/officeDocument/2006/relationships/image" Target="../media/image5.emf"/><Relationship Id="rId7" Type="http://schemas.openxmlformats.org/officeDocument/2006/relationships/image" Target="../media/image66.emf"/><Relationship Id="rId71" Type="http://schemas.openxmlformats.org/officeDocument/2006/relationships/image" Target="../media/image2.emf"/><Relationship Id="rId2" Type="http://schemas.openxmlformats.org/officeDocument/2006/relationships/image" Target="../media/image71.emf"/><Relationship Id="rId16" Type="http://schemas.openxmlformats.org/officeDocument/2006/relationships/image" Target="../media/image57.emf"/><Relationship Id="rId29" Type="http://schemas.openxmlformats.org/officeDocument/2006/relationships/image" Target="../media/image44.emf"/><Relationship Id="rId11" Type="http://schemas.openxmlformats.org/officeDocument/2006/relationships/image" Target="../media/image62.emf"/><Relationship Id="rId24" Type="http://schemas.openxmlformats.org/officeDocument/2006/relationships/image" Target="../media/image49.emf"/><Relationship Id="rId32" Type="http://schemas.openxmlformats.org/officeDocument/2006/relationships/image" Target="../media/image41.emf"/><Relationship Id="rId37" Type="http://schemas.openxmlformats.org/officeDocument/2006/relationships/image" Target="../media/image36.emf"/><Relationship Id="rId40" Type="http://schemas.openxmlformats.org/officeDocument/2006/relationships/image" Target="../media/image33.emf"/><Relationship Id="rId45" Type="http://schemas.openxmlformats.org/officeDocument/2006/relationships/image" Target="../media/image28.emf"/><Relationship Id="rId53" Type="http://schemas.openxmlformats.org/officeDocument/2006/relationships/image" Target="../media/image20.emf"/><Relationship Id="rId58" Type="http://schemas.openxmlformats.org/officeDocument/2006/relationships/image" Target="../media/image15.emf"/><Relationship Id="rId66" Type="http://schemas.openxmlformats.org/officeDocument/2006/relationships/image" Target="../media/image7.emf"/><Relationship Id="rId5" Type="http://schemas.openxmlformats.org/officeDocument/2006/relationships/image" Target="../media/image68.emf"/><Relationship Id="rId61" Type="http://schemas.openxmlformats.org/officeDocument/2006/relationships/image" Target="../media/image12.emf"/><Relationship Id="rId19" Type="http://schemas.openxmlformats.org/officeDocument/2006/relationships/image" Target="../media/image54.emf"/><Relationship Id="rId14" Type="http://schemas.openxmlformats.org/officeDocument/2006/relationships/image" Target="../media/image59.emf"/><Relationship Id="rId22" Type="http://schemas.openxmlformats.org/officeDocument/2006/relationships/image" Target="../media/image51.emf"/><Relationship Id="rId27" Type="http://schemas.openxmlformats.org/officeDocument/2006/relationships/image" Target="../media/image46.emf"/><Relationship Id="rId30" Type="http://schemas.openxmlformats.org/officeDocument/2006/relationships/image" Target="../media/image43.emf"/><Relationship Id="rId35" Type="http://schemas.openxmlformats.org/officeDocument/2006/relationships/image" Target="../media/image38.emf"/><Relationship Id="rId43" Type="http://schemas.openxmlformats.org/officeDocument/2006/relationships/image" Target="../media/image30.emf"/><Relationship Id="rId48" Type="http://schemas.openxmlformats.org/officeDocument/2006/relationships/image" Target="../media/image25.emf"/><Relationship Id="rId56" Type="http://schemas.openxmlformats.org/officeDocument/2006/relationships/image" Target="../media/image17.emf"/><Relationship Id="rId64" Type="http://schemas.openxmlformats.org/officeDocument/2006/relationships/image" Target="../media/image9.emf"/><Relationship Id="rId69" Type="http://schemas.openxmlformats.org/officeDocument/2006/relationships/image" Target="../media/image4.emf"/><Relationship Id="rId8" Type="http://schemas.openxmlformats.org/officeDocument/2006/relationships/image" Target="../media/image65.emf"/><Relationship Id="rId51" Type="http://schemas.openxmlformats.org/officeDocument/2006/relationships/image" Target="../media/image22.emf"/><Relationship Id="rId72" Type="http://schemas.openxmlformats.org/officeDocument/2006/relationships/image" Target="../media/image1.emf"/><Relationship Id="rId3" Type="http://schemas.openxmlformats.org/officeDocument/2006/relationships/image" Target="../media/image70.emf"/><Relationship Id="rId12" Type="http://schemas.openxmlformats.org/officeDocument/2006/relationships/image" Target="../media/image61.emf"/><Relationship Id="rId17" Type="http://schemas.openxmlformats.org/officeDocument/2006/relationships/image" Target="../media/image56.emf"/><Relationship Id="rId25" Type="http://schemas.openxmlformats.org/officeDocument/2006/relationships/image" Target="../media/image48.emf"/><Relationship Id="rId33" Type="http://schemas.openxmlformats.org/officeDocument/2006/relationships/image" Target="../media/image40.emf"/><Relationship Id="rId38" Type="http://schemas.openxmlformats.org/officeDocument/2006/relationships/image" Target="../media/image35.emf"/><Relationship Id="rId46" Type="http://schemas.openxmlformats.org/officeDocument/2006/relationships/image" Target="../media/image27.emf"/><Relationship Id="rId59" Type="http://schemas.openxmlformats.org/officeDocument/2006/relationships/image" Target="../media/image14.emf"/><Relationship Id="rId67" Type="http://schemas.openxmlformats.org/officeDocument/2006/relationships/image" Target="../media/image6.emf"/><Relationship Id="rId20" Type="http://schemas.openxmlformats.org/officeDocument/2006/relationships/image" Target="../media/image53.emf"/><Relationship Id="rId41" Type="http://schemas.openxmlformats.org/officeDocument/2006/relationships/image" Target="../media/image32.emf"/><Relationship Id="rId54" Type="http://schemas.openxmlformats.org/officeDocument/2006/relationships/image" Target="../media/image19.emf"/><Relationship Id="rId62" Type="http://schemas.openxmlformats.org/officeDocument/2006/relationships/image" Target="../media/image11.emf"/><Relationship Id="rId70" Type="http://schemas.openxmlformats.org/officeDocument/2006/relationships/image" Target="../media/image3.emf"/><Relationship Id="rId1" Type="http://schemas.openxmlformats.org/officeDocument/2006/relationships/image" Target="../media/image72.emf"/><Relationship Id="rId6" Type="http://schemas.openxmlformats.org/officeDocument/2006/relationships/image" Target="../media/image67.emf"/><Relationship Id="rId15" Type="http://schemas.openxmlformats.org/officeDocument/2006/relationships/image" Target="../media/image58.emf"/><Relationship Id="rId23" Type="http://schemas.openxmlformats.org/officeDocument/2006/relationships/image" Target="../media/image50.emf"/><Relationship Id="rId28" Type="http://schemas.openxmlformats.org/officeDocument/2006/relationships/image" Target="../media/image45.emf"/><Relationship Id="rId36" Type="http://schemas.openxmlformats.org/officeDocument/2006/relationships/image" Target="../media/image37.emf"/><Relationship Id="rId49" Type="http://schemas.openxmlformats.org/officeDocument/2006/relationships/image" Target="../media/image24.emf"/><Relationship Id="rId57" Type="http://schemas.openxmlformats.org/officeDocument/2006/relationships/image" Target="../media/image16.emf"/><Relationship Id="rId10" Type="http://schemas.openxmlformats.org/officeDocument/2006/relationships/image" Target="../media/image63.emf"/><Relationship Id="rId31" Type="http://schemas.openxmlformats.org/officeDocument/2006/relationships/image" Target="../media/image42.emf"/><Relationship Id="rId44" Type="http://schemas.openxmlformats.org/officeDocument/2006/relationships/image" Target="../media/image29.emf"/><Relationship Id="rId52" Type="http://schemas.openxmlformats.org/officeDocument/2006/relationships/image" Target="../media/image21.emf"/><Relationship Id="rId60" Type="http://schemas.openxmlformats.org/officeDocument/2006/relationships/image" Target="../media/image13.emf"/><Relationship Id="rId65" Type="http://schemas.openxmlformats.org/officeDocument/2006/relationships/image" Target="../media/image8.emf"/><Relationship Id="rId4" Type="http://schemas.openxmlformats.org/officeDocument/2006/relationships/image" Target="../media/image69.emf"/><Relationship Id="rId9" Type="http://schemas.openxmlformats.org/officeDocument/2006/relationships/image" Target="../media/image64.emf"/><Relationship Id="rId13" Type="http://schemas.openxmlformats.org/officeDocument/2006/relationships/image" Target="../media/image60.emf"/><Relationship Id="rId18" Type="http://schemas.openxmlformats.org/officeDocument/2006/relationships/image" Target="../media/image55.emf"/><Relationship Id="rId39" Type="http://schemas.openxmlformats.org/officeDocument/2006/relationships/image" Target="../media/image34.emf"/><Relationship Id="rId34" Type="http://schemas.openxmlformats.org/officeDocument/2006/relationships/image" Target="../media/image39.emf"/><Relationship Id="rId50" Type="http://schemas.openxmlformats.org/officeDocument/2006/relationships/image" Target="../media/image23.emf"/><Relationship Id="rId55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1575771</xdr:colOff>
      <xdr:row>37</xdr:row>
      <xdr:rowOff>195480</xdr:rowOff>
    </xdr:from>
    <xdr:ext cx="8973162" cy="159511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 rot="20288842">
          <a:off x="2497791" y="4279800"/>
          <a:ext cx="8973162" cy="15951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9600" b="1"/>
            <a:t>DO NOT CHANGE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30</xdr:row>
          <xdr:rowOff>152400</xdr:rowOff>
        </xdr:from>
        <xdr:to>
          <xdr:col>13</xdr:col>
          <xdr:colOff>1352550</xdr:colOff>
          <xdr:row>31</xdr:row>
          <xdr:rowOff>304800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01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Scores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495300</xdr:colOff>
          <xdr:row>14</xdr:row>
          <xdr:rowOff>28575</xdr:rowOff>
        </xdr:from>
        <xdr:to>
          <xdr:col>13</xdr:col>
          <xdr:colOff>1838325</xdr:colOff>
          <xdr:row>15</xdr:row>
          <xdr:rowOff>200025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01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Fit to Screen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28</xdr:row>
          <xdr:rowOff>47625</xdr:rowOff>
        </xdr:from>
        <xdr:to>
          <xdr:col>4</xdr:col>
          <xdr:colOff>466725</xdr:colOff>
          <xdr:row>28</xdr:row>
          <xdr:rowOff>276225</xdr:rowOff>
        </xdr:to>
        <xdr:sp macro="" textlink="">
          <xdr:nvSpPr>
            <xdr:cNvPr id="51203" name="OptionButton91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01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28</xdr:row>
          <xdr:rowOff>38100</xdr:rowOff>
        </xdr:from>
        <xdr:to>
          <xdr:col>5</xdr:col>
          <xdr:colOff>476250</xdr:colOff>
          <xdr:row>28</xdr:row>
          <xdr:rowOff>266700</xdr:rowOff>
        </xdr:to>
        <xdr:sp macro="" textlink="">
          <xdr:nvSpPr>
            <xdr:cNvPr id="51204" name="OptionButton92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01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476250</xdr:colOff>
          <xdr:row>29</xdr:row>
          <xdr:rowOff>66675</xdr:rowOff>
        </xdr:from>
        <xdr:to>
          <xdr:col>5</xdr:col>
          <xdr:colOff>466725</xdr:colOff>
          <xdr:row>30</xdr:row>
          <xdr:rowOff>19050</xdr:rowOff>
        </xdr:to>
        <xdr:sp macro="" textlink="">
          <xdr:nvSpPr>
            <xdr:cNvPr id="51205" name="OptionButton93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01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29</xdr:row>
          <xdr:rowOff>66675</xdr:rowOff>
        </xdr:from>
        <xdr:to>
          <xdr:col>4</xdr:col>
          <xdr:colOff>457200</xdr:colOff>
          <xdr:row>30</xdr:row>
          <xdr:rowOff>9525</xdr:rowOff>
        </xdr:to>
        <xdr:sp macro="" textlink="">
          <xdr:nvSpPr>
            <xdr:cNvPr id="51206" name="OptionButton94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01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30</xdr:row>
          <xdr:rowOff>57150</xdr:rowOff>
        </xdr:from>
        <xdr:to>
          <xdr:col>4</xdr:col>
          <xdr:colOff>447675</xdr:colOff>
          <xdr:row>30</xdr:row>
          <xdr:rowOff>295275</xdr:rowOff>
        </xdr:to>
        <xdr:sp macro="" textlink="">
          <xdr:nvSpPr>
            <xdr:cNvPr id="51207" name="OptionButton95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01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476250</xdr:colOff>
          <xdr:row>30</xdr:row>
          <xdr:rowOff>57150</xdr:rowOff>
        </xdr:from>
        <xdr:to>
          <xdr:col>5</xdr:col>
          <xdr:colOff>457200</xdr:colOff>
          <xdr:row>30</xdr:row>
          <xdr:rowOff>285750</xdr:rowOff>
        </xdr:to>
        <xdr:sp macro="" textlink="">
          <xdr:nvSpPr>
            <xdr:cNvPr id="51208" name="OptionButton96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01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31</xdr:row>
          <xdr:rowOff>9525</xdr:rowOff>
        </xdr:from>
        <xdr:to>
          <xdr:col>4</xdr:col>
          <xdr:colOff>447675</xdr:colOff>
          <xdr:row>31</xdr:row>
          <xdr:rowOff>266700</xdr:rowOff>
        </xdr:to>
        <xdr:sp macro="" textlink="">
          <xdr:nvSpPr>
            <xdr:cNvPr id="51209" name="OptionButton97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01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476250</xdr:colOff>
          <xdr:row>31</xdr:row>
          <xdr:rowOff>9525</xdr:rowOff>
        </xdr:from>
        <xdr:to>
          <xdr:col>5</xdr:col>
          <xdr:colOff>457200</xdr:colOff>
          <xdr:row>31</xdr:row>
          <xdr:rowOff>257175</xdr:rowOff>
        </xdr:to>
        <xdr:sp macro="" textlink="">
          <xdr:nvSpPr>
            <xdr:cNvPr id="51210" name="OptionButton98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01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66675</xdr:colOff>
          <xdr:row>18</xdr:row>
          <xdr:rowOff>38100</xdr:rowOff>
        </xdr:from>
        <xdr:to>
          <xdr:col>10</xdr:col>
          <xdr:colOff>476250</xdr:colOff>
          <xdr:row>18</xdr:row>
          <xdr:rowOff>276225</xdr:rowOff>
        </xdr:to>
        <xdr:sp macro="" textlink="">
          <xdr:nvSpPr>
            <xdr:cNvPr id="51211" name="OptionButton10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01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514350</xdr:colOff>
          <xdr:row>18</xdr:row>
          <xdr:rowOff>28575</xdr:rowOff>
        </xdr:from>
        <xdr:to>
          <xdr:col>11</xdr:col>
          <xdr:colOff>371475</xdr:colOff>
          <xdr:row>18</xdr:row>
          <xdr:rowOff>276225</xdr:rowOff>
        </xdr:to>
        <xdr:sp macro="" textlink="">
          <xdr:nvSpPr>
            <xdr:cNvPr id="51212" name="OptionButton10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01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3752850</xdr:colOff>
          <xdr:row>14</xdr:row>
          <xdr:rowOff>28575</xdr:rowOff>
        </xdr:from>
        <xdr:to>
          <xdr:col>9</xdr:col>
          <xdr:colOff>4171950</xdr:colOff>
          <xdr:row>14</xdr:row>
          <xdr:rowOff>285750</xdr:rowOff>
        </xdr:to>
        <xdr:sp macro="" textlink="">
          <xdr:nvSpPr>
            <xdr:cNvPr id="51213" name="OptionButton136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01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4210050</xdr:colOff>
          <xdr:row>14</xdr:row>
          <xdr:rowOff>28575</xdr:rowOff>
        </xdr:from>
        <xdr:to>
          <xdr:col>10</xdr:col>
          <xdr:colOff>85725</xdr:colOff>
          <xdr:row>14</xdr:row>
          <xdr:rowOff>266700</xdr:rowOff>
        </xdr:to>
        <xdr:sp macro="" textlink="">
          <xdr:nvSpPr>
            <xdr:cNvPr id="51214" name="OptionButton137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01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2628900</xdr:colOff>
          <xdr:row>26</xdr:row>
          <xdr:rowOff>38100</xdr:rowOff>
        </xdr:from>
        <xdr:to>
          <xdr:col>9</xdr:col>
          <xdr:colOff>3162300</xdr:colOff>
          <xdr:row>26</xdr:row>
          <xdr:rowOff>266700</xdr:rowOff>
        </xdr:to>
        <xdr:sp macro="" textlink="">
          <xdr:nvSpPr>
            <xdr:cNvPr id="51215" name="OptionButton14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01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3190875</xdr:colOff>
          <xdr:row>26</xdr:row>
          <xdr:rowOff>38100</xdr:rowOff>
        </xdr:from>
        <xdr:to>
          <xdr:col>9</xdr:col>
          <xdr:colOff>3952875</xdr:colOff>
          <xdr:row>26</xdr:row>
          <xdr:rowOff>276225</xdr:rowOff>
        </xdr:to>
        <xdr:sp macro="" textlink="">
          <xdr:nvSpPr>
            <xdr:cNvPr id="51216" name="OptionButton15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01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66675</xdr:colOff>
          <xdr:row>32</xdr:row>
          <xdr:rowOff>38100</xdr:rowOff>
        </xdr:from>
        <xdr:to>
          <xdr:col>10</xdr:col>
          <xdr:colOff>476250</xdr:colOff>
          <xdr:row>32</xdr:row>
          <xdr:rowOff>276225</xdr:rowOff>
        </xdr:to>
        <xdr:sp macro="" textlink="">
          <xdr:nvSpPr>
            <xdr:cNvPr id="51217" name="OptionButton20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01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514350</xdr:colOff>
          <xdr:row>32</xdr:row>
          <xdr:rowOff>38100</xdr:rowOff>
        </xdr:from>
        <xdr:to>
          <xdr:col>11</xdr:col>
          <xdr:colOff>371475</xdr:colOff>
          <xdr:row>32</xdr:row>
          <xdr:rowOff>285750</xdr:rowOff>
        </xdr:to>
        <xdr:sp macro="" textlink="">
          <xdr:nvSpPr>
            <xdr:cNvPr id="51218" name="OptionButton21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01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66675</xdr:colOff>
          <xdr:row>20</xdr:row>
          <xdr:rowOff>28575</xdr:rowOff>
        </xdr:from>
        <xdr:to>
          <xdr:col>10</xdr:col>
          <xdr:colOff>476250</xdr:colOff>
          <xdr:row>20</xdr:row>
          <xdr:rowOff>266700</xdr:rowOff>
        </xdr:to>
        <xdr:sp macro="" textlink="">
          <xdr:nvSpPr>
            <xdr:cNvPr id="51219" name="OptionButton22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01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514350</xdr:colOff>
          <xdr:row>20</xdr:row>
          <xdr:rowOff>38100</xdr:rowOff>
        </xdr:from>
        <xdr:to>
          <xdr:col>11</xdr:col>
          <xdr:colOff>371475</xdr:colOff>
          <xdr:row>20</xdr:row>
          <xdr:rowOff>285750</xdr:rowOff>
        </xdr:to>
        <xdr:sp macro="" textlink="">
          <xdr:nvSpPr>
            <xdr:cNvPr id="51220" name="OptionButton23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01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16</xdr:row>
          <xdr:rowOff>47625</xdr:rowOff>
        </xdr:from>
        <xdr:to>
          <xdr:col>4</xdr:col>
          <xdr:colOff>438150</xdr:colOff>
          <xdr:row>16</xdr:row>
          <xdr:rowOff>304800</xdr:rowOff>
        </xdr:to>
        <xdr:sp macro="" textlink="">
          <xdr:nvSpPr>
            <xdr:cNvPr id="51221" name="OptionButton32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01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16</xdr:row>
          <xdr:rowOff>38100</xdr:rowOff>
        </xdr:from>
        <xdr:to>
          <xdr:col>5</xdr:col>
          <xdr:colOff>466725</xdr:colOff>
          <xdr:row>16</xdr:row>
          <xdr:rowOff>285750</xdr:rowOff>
        </xdr:to>
        <xdr:sp macro="" textlink="">
          <xdr:nvSpPr>
            <xdr:cNvPr id="51222" name="OptionButton33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01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17</xdr:row>
          <xdr:rowOff>38100</xdr:rowOff>
        </xdr:from>
        <xdr:to>
          <xdr:col>5</xdr:col>
          <xdr:colOff>466725</xdr:colOff>
          <xdr:row>17</xdr:row>
          <xdr:rowOff>285750</xdr:rowOff>
        </xdr:to>
        <xdr:sp macro="" textlink="">
          <xdr:nvSpPr>
            <xdr:cNvPr id="51223" name="OptionButton35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01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15</xdr:row>
          <xdr:rowOff>38100</xdr:rowOff>
        </xdr:from>
        <xdr:to>
          <xdr:col>4</xdr:col>
          <xdr:colOff>447675</xdr:colOff>
          <xdr:row>15</xdr:row>
          <xdr:rowOff>285750</xdr:rowOff>
        </xdr:to>
        <xdr:sp macro="" textlink="">
          <xdr:nvSpPr>
            <xdr:cNvPr id="51224" name="OptionButton37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01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466725</xdr:colOff>
          <xdr:row>15</xdr:row>
          <xdr:rowOff>38100</xdr:rowOff>
        </xdr:from>
        <xdr:to>
          <xdr:col>5</xdr:col>
          <xdr:colOff>447675</xdr:colOff>
          <xdr:row>15</xdr:row>
          <xdr:rowOff>285750</xdr:rowOff>
        </xdr:to>
        <xdr:sp macro="" textlink="">
          <xdr:nvSpPr>
            <xdr:cNvPr id="51225" name="OptionButton210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01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466725</xdr:colOff>
          <xdr:row>34</xdr:row>
          <xdr:rowOff>76200</xdr:rowOff>
        </xdr:from>
        <xdr:to>
          <xdr:col>5</xdr:col>
          <xdr:colOff>428625</xdr:colOff>
          <xdr:row>35</xdr:row>
          <xdr:rowOff>57150</xdr:rowOff>
        </xdr:to>
        <xdr:sp macro="" textlink="">
          <xdr:nvSpPr>
            <xdr:cNvPr id="51226" name="OptionButton215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01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17</xdr:row>
          <xdr:rowOff>38100</xdr:rowOff>
        </xdr:from>
        <xdr:to>
          <xdr:col>4</xdr:col>
          <xdr:colOff>438150</xdr:colOff>
          <xdr:row>17</xdr:row>
          <xdr:rowOff>285750</xdr:rowOff>
        </xdr:to>
        <xdr:sp macro="" textlink="">
          <xdr:nvSpPr>
            <xdr:cNvPr id="51227" name="OptionButton230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01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457200</xdr:colOff>
          <xdr:row>36</xdr:row>
          <xdr:rowOff>19050</xdr:rowOff>
        </xdr:from>
        <xdr:to>
          <xdr:col>5</xdr:col>
          <xdr:colOff>447675</xdr:colOff>
          <xdr:row>36</xdr:row>
          <xdr:rowOff>266700</xdr:rowOff>
        </xdr:to>
        <xdr:sp macro="" textlink="">
          <xdr:nvSpPr>
            <xdr:cNvPr id="51228" name="OptionButton5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01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36</xdr:row>
          <xdr:rowOff>19050</xdr:rowOff>
        </xdr:from>
        <xdr:to>
          <xdr:col>4</xdr:col>
          <xdr:colOff>447675</xdr:colOff>
          <xdr:row>36</xdr:row>
          <xdr:rowOff>276225</xdr:rowOff>
        </xdr:to>
        <xdr:sp macro="" textlink="">
          <xdr:nvSpPr>
            <xdr:cNvPr id="51229" name="OptionButton6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01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561975</xdr:colOff>
          <xdr:row>22</xdr:row>
          <xdr:rowOff>38100</xdr:rowOff>
        </xdr:from>
        <xdr:to>
          <xdr:col>11</xdr:col>
          <xdr:colOff>371475</xdr:colOff>
          <xdr:row>22</xdr:row>
          <xdr:rowOff>257175</xdr:rowOff>
        </xdr:to>
        <xdr:sp macro="" textlink="">
          <xdr:nvSpPr>
            <xdr:cNvPr id="51230" name="OptionButton8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01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85725</xdr:colOff>
          <xdr:row>22</xdr:row>
          <xdr:rowOff>38100</xdr:rowOff>
        </xdr:from>
        <xdr:to>
          <xdr:col>10</xdr:col>
          <xdr:colOff>485775</xdr:colOff>
          <xdr:row>22</xdr:row>
          <xdr:rowOff>238125</xdr:rowOff>
        </xdr:to>
        <xdr:sp macro="" textlink="">
          <xdr:nvSpPr>
            <xdr:cNvPr id="51231" name="OptionButton9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01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2447925</xdr:colOff>
          <xdr:row>33</xdr:row>
          <xdr:rowOff>28575</xdr:rowOff>
        </xdr:from>
        <xdr:to>
          <xdr:col>9</xdr:col>
          <xdr:colOff>2971800</xdr:colOff>
          <xdr:row>33</xdr:row>
          <xdr:rowOff>266700</xdr:rowOff>
        </xdr:to>
        <xdr:sp macro="" textlink="">
          <xdr:nvSpPr>
            <xdr:cNvPr id="51232" name="OptionButton11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01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3009900</xdr:colOff>
          <xdr:row>33</xdr:row>
          <xdr:rowOff>19050</xdr:rowOff>
        </xdr:from>
        <xdr:to>
          <xdr:col>9</xdr:col>
          <xdr:colOff>3543300</xdr:colOff>
          <xdr:row>33</xdr:row>
          <xdr:rowOff>266700</xdr:rowOff>
        </xdr:to>
        <xdr:sp macro="" textlink="">
          <xdr:nvSpPr>
            <xdr:cNvPr id="51233" name="OptionButton12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01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34</xdr:row>
          <xdr:rowOff>76200</xdr:rowOff>
        </xdr:from>
        <xdr:to>
          <xdr:col>4</xdr:col>
          <xdr:colOff>438150</xdr:colOff>
          <xdr:row>35</xdr:row>
          <xdr:rowOff>57150</xdr:rowOff>
        </xdr:to>
        <xdr:sp macro="" textlink="">
          <xdr:nvSpPr>
            <xdr:cNvPr id="51234" name="OptionButton36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01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35</xdr:row>
          <xdr:rowOff>66675</xdr:rowOff>
        </xdr:from>
        <xdr:to>
          <xdr:col>4</xdr:col>
          <xdr:colOff>438150</xdr:colOff>
          <xdr:row>36</xdr:row>
          <xdr:rowOff>9525</xdr:rowOff>
        </xdr:to>
        <xdr:sp macro="" textlink="">
          <xdr:nvSpPr>
            <xdr:cNvPr id="51235" name="OptionButton42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01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457200</xdr:colOff>
          <xdr:row>35</xdr:row>
          <xdr:rowOff>66675</xdr:rowOff>
        </xdr:from>
        <xdr:to>
          <xdr:col>5</xdr:col>
          <xdr:colOff>438150</xdr:colOff>
          <xdr:row>36</xdr:row>
          <xdr:rowOff>0</xdr:rowOff>
        </xdr:to>
        <xdr:sp macro="" textlink="">
          <xdr:nvSpPr>
            <xdr:cNvPr id="51236" name="OptionButton43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01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4410075</xdr:colOff>
          <xdr:row>24</xdr:row>
          <xdr:rowOff>47625</xdr:rowOff>
        </xdr:from>
        <xdr:to>
          <xdr:col>9</xdr:col>
          <xdr:colOff>4686300</xdr:colOff>
          <xdr:row>24</xdr:row>
          <xdr:rowOff>276225</xdr:rowOff>
        </xdr:to>
        <xdr:sp macro="" textlink="">
          <xdr:nvSpPr>
            <xdr:cNvPr id="51237" name="OptionButton48" hidden="1">
              <a:extLst>
                <a:ext uri="{63B3BB69-23CF-44E3-9099-C40C66FF867C}">
                  <a14:compatExt spid="_x0000_s51237"/>
                </a:ext>
                <a:ext uri="{FF2B5EF4-FFF2-40B4-BE49-F238E27FC236}">
                  <a16:creationId xmlns:a16="http://schemas.microsoft.com/office/drawing/2014/main" id="{00000000-0008-0000-0100-00002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24</xdr:row>
          <xdr:rowOff>47625</xdr:rowOff>
        </xdr:from>
        <xdr:to>
          <xdr:col>10</xdr:col>
          <xdr:colOff>304800</xdr:colOff>
          <xdr:row>24</xdr:row>
          <xdr:rowOff>276225</xdr:rowOff>
        </xdr:to>
        <xdr:sp macro="" textlink="">
          <xdr:nvSpPr>
            <xdr:cNvPr id="51238" name="OptionButton49" hidden="1">
              <a:extLst>
                <a:ext uri="{63B3BB69-23CF-44E3-9099-C40C66FF867C}">
                  <a14:compatExt spid="_x0000_s51238"/>
                </a:ext>
                <a:ext uri="{FF2B5EF4-FFF2-40B4-BE49-F238E27FC236}">
                  <a16:creationId xmlns:a16="http://schemas.microsoft.com/office/drawing/2014/main" id="{00000000-0008-0000-0100-00002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352425</xdr:colOff>
          <xdr:row>24</xdr:row>
          <xdr:rowOff>47625</xdr:rowOff>
        </xdr:from>
        <xdr:to>
          <xdr:col>11</xdr:col>
          <xdr:colOff>19050</xdr:colOff>
          <xdr:row>24</xdr:row>
          <xdr:rowOff>276225</xdr:rowOff>
        </xdr:to>
        <xdr:sp macro="" textlink="">
          <xdr:nvSpPr>
            <xdr:cNvPr id="51239" name="OptionButton50" hidden="1">
              <a:extLst>
                <a:ext uri="{63B3BB69-23CF-44E3-9099-C40C66FF867C}">
                  <a14:compatExt spid="_x0000_s51239"/>
                </a:ext>
                <a:ext uri="{FF2B5EF4-FFF2-40B4-BE49-F238E27FC236}">
                  <a16:creationId xmlns:a16="http://schemas.microsoft.com/office/drawing/2014/main" id="{00000000-0008-0000-0100-00002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24</xdr:row>
          <xdr:rowOff>47625</xdr:rowOff>
        </xdr:from>
        <xdr:to>
          <xdr:col>11</xdr:col>
          <xdr:colOff>333375</xdr:colOff>
          <xdr:row>24</xdr:row>
          <xdr:rowOff>276225</xdr:rowOff>
        </xdr:to>
        <xdr:sp macro="" textlink="">
          <xdr:nvSpPr>
            <xdr:cNvPr id="51240" name="OptionButton51" hidden="1">
              <a:extLst>
                <a:ext uri="{63B3BB69-23CF-44E3-9099-C40C66FF867C}">
                  <a14:compatExt spid="_x0000_s51240"/>
                </a:ext>
                <a:ext uri="{FF2B5EF4-FFF2-40B4-BE49-F238E27FC236}">
                  <a16:creationId xmlns:a16="http://schemas.microsoft.com/office/drawing/2014/main" id="{00000000-0008-0000-0100-00002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85725</xdr:colOff>
          <xdr:row>29</xdr:row>
          <xdr:rowOff>38100</xdr:rowOff>
        </xdr:from>
        <xdr:to>
          <xdr:col>10</xdr:col>
          <xdr:colOff>361950</xdr:colOff>
          <xdr:row>29</xdr:row>
          <xdr:rowOff>266700</xdr:rowOff>
        </xdr:to>
        <xdr:sp macro="" textlink="">
          <xdr:nvSpPr>
            <xdr:cNvPr id="51241" name="OptionButton52" hidden="1">
              <a:extLst>
                <a:ext uri="{63B3BB69-23CF-44E3-9099-C40C66FF867C}">
                  <a14:compatExt spid="_x0000_s51241"/>
                </a:ext>
                <a:ext uri="{FF2B5EF4-FFF2-40B4-BE49-F238E27FC236}">
                  <a16:creationId xmlns:a16="http://schemas.microsoft.com/office/drawing/2014/main" id="{00000000-0008-0000-0100-00002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29</xdr:row>
          <xdr:rowOff>38100</xdr:rowOff>
        </xdr:from>
        <xdr:to>
          <xdr:col>11</xdr:col>
          <xdr:colOff>38100</xdr:colOff>
          <xdr:row>29</xdr:row>
          <xdr:rowOff>266700</xdr:rowOff>
        </xdr:to>
        <xdr:sp macro="" textlink="">
          <xdr:nvSpPr>
            <xdr:cNvPr id="51242" name="OptionButton53" hidden="1">
              <a:extLst>
                <a:ext uri="{63B3BB69-23CF-44E3-9099-C40C66FF867C}">
                  <a14:compatExt spid="_x0000_s51242"/>
                </a:ext>
                <a:ext uri="{FF2B5EF4-FFF2-40B4-BE49-F238E27FC236}">
                  <a16:creationId xmlns:a16="http://schemas.microsoft.com/office/drawing/2014/main" id="{00000000-0008-0000-0100-00002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29</xdr:row>
          <xdr:rowOff>38100</xdr:rowOff>
        </xdr:from>
        <xdr:to>
          <xdr:col>11</xdr:col>
          <xdr:colOff>361950</xdr:colOff>
          <xdr:row>29</xdr:row>
          <xdr:rowOff>266700</xdr:rowOff>
        </xdr:to>
        <xdr:sp macro="" textlink="">
          <xdr:nvSpPr>
            <xdr:cNvPr id="51243" name="OptionButton54" hidden="1">
              <a:extLst>
                <a:ext uri="{63B3BB69-23CF-44E3-9099-C40C66FF867C}">
                  <a14:compatExt spid="_x0000_s51243"/>
                </a:ext>
                <a:ext uri="{FF2B5EF4-FFF2-40B4-BE49-F238E27FC236}">
                  <a16:creationId xmlns:a16="http://schemas.microsoft.com/office/drawing/2014/main" id="{00000000-0008-0000-0100-00002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85725</xdr:colOff>
          <xdr:row>30</xdr:row>
          <xdr:rowOff>28575</xdr:rowOff>
        </xdr:from>
        <xdr:to>
          <xdr:col>10</xdr:col>
          <xdr:colOff>361950</xdr:colOff>
          <xdr:row>30</xdr:row>
          <xdr:rowOff>257175</xdr:rowOff>
        </xdr:to>
        <xdr:sp macro="" textlink="">
          <xdr:nvSpPr>
            <xdr:cNvPr id="51244" name="OptionButton55" hidden="1">
              <a:extLst>
                <a:ext uri="{63B3BB69-23CF-44E3-9099-C40C66FF867C}">
                  <a14:compatExt spid="_x0000_s51244"/>
                </a:ext>
                <a:ext uri="{FF2B5EF4-FFF2-40B4-BE49-F238E27FC236}">
                  <a16:creationId xmlns:a16="http://schemas.microsoft.com/office/drawing/2014/main" id="{00000000-0008-0000-0100-00002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30</xdr:row>
          <xdr:rowOff>28575</xdr:rowOff>
        </xdr:from>
        <xdr:to>
          <xdr:col>11</xdr:col>
          <xdr:colOff>38100</xdr:colOff>
          <xdr:row>30</xdr:row>
          <xdr:rowOff>257175</xdr:rowOff>
        </xdr:to>
        <xdr:sp macro="" textlink="">
          <xdr:nvSpPr>
            <xdr:cNvPr id="51245" name="OptionButton56" hidden="1">
              <a:extLst>
                <a:ext uri="{63B3BB69-23CF-44E3-9099-C40C66FF867C}">
                  <a14:compatExt spid="_x0000_s51245"/>
                </a:ext>
                <a:ext uri="{FF2B5EF4-FFF2-40B4-BE49-F238E27FC236}">
                  <a16:creationId xmlns:a16="http://schemas.microsoft.com/office/drawing/2014/main" id="{00000000-0008-0000-0100-00002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76200</xdr:colOff>
          <xdr:row>30</xdr:row>
          <xdr:rowOff>28575</xdr:rowOff>
        </xdr:from>
        <xdr:to>
          <xdr:col>11</xdr:col>
          <xdr:colOff>352425</xdr:colOff>
          <xdr:row>30</xdr:row>
          <xdr:rowOff>257175</xdr:rowOff>
        </xdr:to>
        <xdr:sp macro="" textlink="">
          <xdr:nvSpPr>
            <xdr:cNvPr id="51246" name="OptionButton57" hidden="1">
              <a:extLst>
                <a:ext uri="{63B3BB69-23CF-44E3-9099-C40C66FF867C}">
                  <a14:compatExt spid="_x0000_s51246"/>
                </a:ext>
                <a:ext uri="{FF2B5EF4-FFF2-40B4-BE49-F238E27FC236}">
                  <a16:creationId xmlns:a16="http://schemas.microsoft.com/office/drawing/2014/main" id="{00000000-0008-0000-0100-00002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114300</xdr:colOff>
          <xdr:row>26</xdr:row>
          <xdr:rowOff>57150</xdr:rowOff>
        </xdr:from>
        <xdr:to>
          <xdr:col>4</xdr:col>
          <xdr:colOff>476250</xdr:colOff>
          <xdr:row>26</xdr:row>
          <xdr:rowOff>276225</xdr:rowOff>
        </xdr:to>
        <xdr:sp macro="" textlink="">
          <xdr:nvSpPr>
            <xdr:cNvPr id="51247" name="OptionButton59" hidden="1">
              <a:extLst>
                <a:ext uri="{63B3BB69-23CF-44E3-9099-C40C66FF867C}">
                  <a14:compatExt spid="_x0000_s51247"/>
                </a:ext>
                <a:ext uri="{FF2B5EF4-FFF2-40B4-BE49-F238E27FC236}">
                  <a16:creationId xmlns:a16="http://schemas.microsoft.com/office/drawing/2014/main" id="{00000000-0008-0000-0100-00002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26</xdr:row>
          <xdr:rowOff>57150</xdr:rowOff>
        </xdr:from>
        <xdr:to>
          <xdr:col>5</xdr:col>
          <xdr:colOff>476250</xdr:colOff>
          <xdr:row>26</xdr:row>
          <xdr:rowOff>276225</xdr:rowOff>
        </xdr:to>
        <xdr:sp macro="" textlink="">
          <xdr:nvSpPr>
            <xdr:cNvPr id="51248" name="OptionButton60" hidden="1">
              <a:extLst>
                <a:ext uri="{63B3BB69-23CF-44E3-9099-C40C66FF867C}">
                  <a14:compatExt spid="_x0000_s51248"/>
                </a:ext>
                <a:ext uri="{FF2B5EF4-FFF2-40B4-BE49-F238E27FC236}">
                  <a16:creationId xmlns:a16="http://schemas.microsoft.com/office/drawing/2014/main" id="{00000000-0008-0000-0100-00003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19</xdr:row>
          <xdr:rowOff>57150</xdr:rowOff>
        </xdr:from>
        <xdr:to>
          <xdr:col>4</xdr:col>
          <xdr:colOff>447675</xdr:colOff>
          <xdr:row>19</xdr:row>
          <xdr:rowOff>304800</xdr:rowOff>
        </xdr:to>
        <xdr:sp macro="" textlink="">
          <xdr:nvSpPr>
            <xdr:cNvPr id="51249" name="OptionButton69" hidden="1">
              <a:extLst>
                <a:ext uri="{63B3BB69-23CF-44E3-9099-C40C66FF867C}">
                  <a14:compatExt spid="_x0000_s51249"/>
                </a:ext>
                <a:ext uri="{FF2B5EF4-FFF2-40B4-BE49-F238E27FC236}">
                  <a16:creationId xmlns:a16="http://schemas.microsoft.com/office/drawing/2014/main" id="{00000000-0008-0000-0100-00003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476250</xdr:colOff>
          <xdr:row>19</xdr:row>
          <xdr:rowOff>47625</xdr:rowOff>
        </xdr:from>
        <xdr:to>
          <xdr:col>5</xdr:col>
          <xdr:colOff>457200</xdr:colOff>
          <xdr:row>19</xdr:row>
          <xdr:rowOff>295275</xdr:rowOff>
        </xdr:to>
        <xdr:sp macro="" textlink="">
          <xdr:nvSpPr>
            <xdr:cNvPr id="51250" name="OptionButton70" hidden="1">
              <a:extLst>
                <a:ext uri="{63B3BB69-23CF-44E3-9099-C40C66FF867C}">
                  <a14:compatExt spid="_x0000_s51250"/>
                </a:ext>
                <a:ext uri="{FF2B5EF4-FFF2-40B4-BE49-F238E27FC236}">
                  <a16:creationId xmlns:a16="http://schemas.microsoft.com/office/drawing/2014/main" id="{00000000-0008-0000-0100-00003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20</xdr:row>
          <xdr:rowOff>47625</xdr:rowOff>
        </xdr:from>
        <xdr:to>
          <xdr:col>4</xdr:col>
          <xdr:colOff>447675</xdr:colOff>
          <xdr:row>20</xdr:row>
          <xdr:rowOff>285750</xdr:rowOff>
        </xdr:to>
        <xdr:sp macro="" textlink="">
          <xdr:nvSpPr>
            <xdr:cNvPr id="51251" name="OptionButton71" hidden="1">
              <a:extLst>
                <a:ext uri="{63B3BB69-23CF-44E3-9099-C40C66FF867C}">
                  <a14:compatExt spid="_x0000_s51251"/>
                </a:ext>
                <a:ext uri="{FF2B5EF4-FFF2-40B4-BE49-F238E27FC236}">
                  <a16:creationId xmlns:a16="http://schemas.microsoft.com/office/drawing/2014/main" id="{00000000-0008-0000-0100-00003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476250</xdr:colOff>
          <xdr:row>20</xdr:row>
          <xdr:rowOff>47625</xdr:rowOff>
        </xdr:from>
        <xdr:to>
          <xdr:col>5</xdr:col>
          <xdr:colOff>457200</xdr:colOff>
          <xdr:row>20</xdr:row>
          <xdr:rowOff>295275</xdr:rowOff>
        </xdr:to>
        <xdr:sp macro="" textlink="">
          <xdr:nvSpPr>
            <xdr:cNvPr id="51252" name="OptionButton72" hidden="1">
              <a:extLst>
                <a:ext uri="{63B3BB69-23CF-44E3-9099-C40C66FF867C}">
                  <a14:compatExt spid="_x0000_s51252"/>
                </a:ext>
                <a:ext uri="{FF2B5EF4-FFF2-40B4-BE49-F238E27FC236}">
                  <a16:creationId xmlns:a16="http://schemas.microsoft.com/office/drawing/2014/main" id="{00000000-0008-0000-0100-00003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22</xdr:row>
          <xdr:rowOff>76200</xdr:rowOff>
        </xdr:from>
        <xdr:to>
          <xdr:col>4</xdr:col>
          <xdr:colOff>438150</xdr:colOff>
          <xdr:row>23</xdr:row>
          <xdr:rowOff>19050</xdr:rowOff>
        </xdr:to>
        <xdr:sp macro="" textlink="">
          <xdr:nvSpPr>
            <xdr:cNvPr id="51253" name="OptionButton73" hidden="1">
              <a:extLst>
                <a:ext uri="{63B3BB69-23CF-44E3-9099-C40C66FF867C}">
                  <a14:compatExt spid="_x0000_s51253"/>
                </a:ext>
                <a:ext uri="{FF2B5EF4-FFF2-40B4-BE49-F238E27FC236}">
                  <a16:creationId xmlns:a16="http://schemas.microsoft.com/office/drawing/2014/main" id="{00000000-0008-0000-0100-00003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457200</xdr:colOff>
          <xdr:row>22</xdr:row>
          <xdr:rowOff>76200</xdr:rowOff>
        </xdr:from>
        <xdr:to>
          <xdr:col>5</xdr:col>
          <xdr:colOff>428625</xdr:colOff>
          <xdr:row>23</xdr:row>
          <xdr:rowOff>19050</xdr:rowOff>
        </xdr:to>
        <xdr:sp macro="" textlink="">
          <xdr:nvSpPr>
            <xdr:cNvPr id="51254" name="OptionButton74" hidden="1">
              <a:extLst>
                <a:ext uri="{63B3BB69-23CF-44E3-9099-C40C66FF867C}">
                  <a14:compatExt spid="_x0000_s51254"/>
                </a:ext>
                <a:ext uri="{FF2B5EF4-FFF2-40B4-BE49-F238E27FC236}">
                  <a16:creationId xmlns:a16="http://schemas.microsoft.com/office/drawing/2014/main" id="{00000000-0008-0000-0100-00003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23</xdr:row>
          <xdr:rowOff>47625</xdr:rowOff>
        </xdr:from>
        <xdr:to>
          <xdr:col>4</xdr:col>
          <xdr:colOff>419100</xdr:colOff>
          <xdr:row>23</xdr:row>
          <xdr:rowOff>285750</xdr:rowOff>
        </xdr:to>
        <xdr:sp macro="" textlink="">
          <xdr:nvSpPr>
            <xdr:cNvPr id="51255" name="OptionButton76" hidden="1">
              <a:extLst>
                <a:ext uri="{63B3BB69-23CF-44E3-9099-C40C66FF867C}">
                  <a14:compatExt spid="_x0000_s51255"/>
                </a:ext>
                <a:ext uri="{FF2B5EF4-FFF2-40B4-BE49-F238E27FC236}">
                  <a16:creationId xmlns:a16="http://schemas.microsoft.com/office/drawing/2014/main" id="{00000000-0008-0000-0100-00003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447675</xdr:colOff>
          <xdr:row>23</xdr:row>
          <xdr:rowOff>57150</xdr:rowOff>
        </xdr:from>
        <xdr:to>
          <xdr:col>5</xdr:col>
          <xdr:colOff>428625</xdr:colOff>
          <xdr:row>23</xdr:row>
          <xdr:rowOff>285750</xdr:rowOff>
        </xdr:to>
        <xdr:sp macro="" textlink="">
          <xdr:nvSpPr>
            <xdr:cNvPr id="51256" name="OptionButton77" hidden="1">
              <a:extLst>
                <a:ext uri="{63B3BB69-23CF-44E3-9099-C40C66FF867C}">
                  <a14:compatExt spid="_x0000_s51256"/>
                </a:ext>
                <a:ext uri="{FF2B5EF4-FFF2-40B4-BE49-F238E27FC236}">
                  <a16:creationId xmlns:a16="http://schemas.microsoft.com/office/drawing/2014/main" id="{00000000-0008-0000-0100-00003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104775</xdr:colOff>
          <xdr:row>25</xdr:row>
          <xdr:rowOff>76200</xdr:rowOff>
        </xdr:from>
        <xdr:to>
          <xdr:col>4</xdr:col>
          <xdr:colOff>476250</xdr:colOff>
          <xdr:row>26</xdr:row>
          <xdr:rowOff>19050</xdr:rowOff>
        </xdr:to>
        <xdr:sp macro="" textlink="">
          <xdr:nvSpPr>
            <xdr:cNvPr id="51257" name="OptionButton78" hidden="1">
              <a:extLst>
                <a:ext uri="{63B3BB69-23CF-44E3-9099-C40C66FF867C}">
                  <a14:compatExt spid="_x0000_s51257"/>
                </a:ext>
                <a:ext uri="{FF2B5EF4-FFF2-40B4-BE49-F238E27FC236}">
                  <a16:creationId xmlns:a16="http://schemas.microsoft.com/office/drawing/2014/main" id="{00000000-0008-0000-0100-00003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25</xdr:row>
          <xdr:rowOff>76200</xdr:rowOff>
        </xdr:from>
        <xdr:to>
          <xdr:col>5</xdr:col>
          <xdr:colOff>466725</xdr:colOff>
          <xdr:row>26</xdr:row>
          <xdr:rowOff>38100</xdr:rowOff>
        </xdr:to>
        <xdr:sp macro="" textlink="">
          <xdr:nvSpPr>
            <xdr:cNvPr id="51258" name="OptionButton79" hidden="1">
              <a:extLst>
                <a:ext uri="{63B3BB69-23CF-44E3-9099-C40C66FF867C}">
                  <a14:compatExt spid="_x0000_s51258"/>
                </a:ext>
                <a:ext uri="{FF2B5EF4-FFF2-40B4-BE49-F238E27FC236}">
                  <a16:creationId xmlns:a16="http://schemas.microsoft.com/office/drawing/2014/main" id="{00000000-0008-0000-0100-00003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3543300</xdr:colOff>
          <xdr:row>35</xdr:row>
          <xdr:rowOff>47625</xdr:rowOff>
        </xdr:from>
        <xdr:to>
          <xdr:col>9</xdr:col>
          <xdr:colOff>3819525</xdr:colOff>
          <xdr:row>35</xdr:row>
          <xdr:rowOff>276225</xdr:rowOff>
        </xdr:to>
        <xdr:sp macro="" textlink="">
          <xdr:nvSpPr>
            <xdr:cNvPr id="51259" name="OptionButton1" hidden="1">
              <a:extLst>
                <a:ext uri="{63B3BB69-23CF-44E3-9099-C40C66FF867C}">
                  <a14:compatExt spid="_x0000_s51259"/>
                </a:ext>
                <a:ext uri="{FF2B5EF4-FFF2-40B4-BE49-F238E27FC236}">
                  <a16:creationId xmlns:a16="http://schemas.microsoft.com/office/drawing/2014/main" id="{00000000-0008-0000-0100-00003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3848100</xdr:colOff>
          <xdr:row>35</xdr:row>
          <xdr:rowOff>47625</xdr:rowOff>
        </xdr:from>
        <xdr:to>
          <xdr:col>9</xdr:col>
          <xdr:colOff>4124325</xdr:colOff>
          <xdr:row>35</xdr:row>
          <xdr:rowOff>276225</xdr:rowOff>
        </xdr:to>
        <xdr:sp macro="" textlink="">
          <xdr:nvSpPr>
            <xdr:cNvPr id="51260" name="OptionButton2" hidden="1">
              <a:extLst>
                <a:ext uri="{63B3BB69-23CF-44E3-9099-C40C66FF867C}">
                  <a14:compatExt spid="_x0000_s51260"/>
                </a:ext>
                <a:ext uri="{FF2B5EF4-FFF2-40B4-BE49-F238E27FC236}">
                  <a16:creationId xmlns:a16="http://schemas.microsoft.com/office/drawing/2014/main" id="{00000000-0008-0000-0100-00003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4143375</xdr:colOff>
          <xdr:row>35</xdr:row>
          <xdr:rowOff>47625</xdr:rowOff>
        </xdr:from>
        <xdr:to>
          <xdr:col>9</xdr:col>
          <xdr:colOff>4419600</xdr:colOff>
          <xdr:row>35</xdr:row>
          <xdr:rowOff>276225</xdr:rowOff>
        </xdr:to>
        <xdr:sp macro="" textlink="">
          <xdr:nvSpPr>
            <xdr:cNvPr id="51261" name="OptionButton7" hidden="1">
              <a:extLst>
                <a:ext uri="{63B3BB69-23CF-44E3-9099-C40C66FF867C}">
                  <a14:compatExt spid="_x0000_s51261"/>
                </a:ext>
                <a:ext uri="{FF2B5EF4-FFF2-40B4-BE49-F238E27FC236}">
                  <a16:creationId xmlns:a16="http://schemas.microsoft.com/office/drawing/2014/main" id="{00000000-0008-0000-0100-00003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4448175</xdr:colOff>
          <xdr:row>35</xdr:row>
          <xdr:rowOff>47625</xdr:rowOff>
        </xdr:from>
        <xdr:to>
          <xdr:col>9</xdr:col>
          <xdr:colOff>4724400</xdr:colOff>
          <xdr:row>35</xdr:row>
          <xdr:rowOff>276225</xdr:rowOff>
        </xdr:to>
        <xdr:sp macro="" textlink="">
          <xdr:nvSpPr>
            <xdr:cNvPr id="51262" name="OptionButton19" hidden="1">
              <a:extLst>
                <a:ext uri="{63B3BB69-23CF-44E3-9099-C40C66FF867C}">
                  <a14:compatExt spid="_x0000_s51262"/>
                </a:ext>
                <a:ext uri="{FF2B5EF4-FFF2-40B4-BE49-F238E27FC236}">
                  <a16:creationId xmlns:a16="http://schemas.microsoft.com/office/drawing/2014/main" id="{00000000-0008-0000-0100-00003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35</xdr:row>
          <xdr:rowOff>47625</xdr:rowOff>
        </xdr:from>
        <xdr:to>
          <xdr:col>10</xdr:col>
          <xdr:colOff>333375</xdr:colOff>
          <xdr:row>35</xdr:row>
          <xdr:rowOff>276225</xdr:rowOff>
        </xdr:to>
        <xdr:sp macro="" textlink="">
          <xdr:nvSpPr>
            <xdr:cNvPr id="51263" name="OptionButton26" hidden="1">
              <a:extLst>
                <a:ext uri="{63B3BB69-23CF-44E3-9099-C40C66FF867C}">
                  <a14:compatExt spid="_x0000_s51263"/>
                </a:ext>
                <a:ext uri="{FF2B5EF4-FFF2-40B4-BE49-F238E27FC236}">
                  <a16:creationId xmlns:a16="http://schemas.microsoft.com/office/drawing/2014/main" id="{00000000-0008-0000-0100-00003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361950</xdr:colOff>
          <xdr:row>35</xdr:row>
          <xdr:rowOff>47625</xdr:rowOff>
        </xdr:from>
        <xdr:to>
          <xdr:col>11</xdr:col>
          <xdr:colOff>19050</xdr:colOff>
          <xdr:row>35</xdr:row>
          <xdr:rowOff>276225</xdr:rowOff>
        </xdr:to>
        <xdr:sp macro="" textlink="">
          <xdr:nvSpPr>
            <xdr:cNvPr id="51264" name="OptionButton27" hidden="1">
              <a:extLst>
                <a:ext uri="{63B3BB69-23CF-44E3-9099-C40C66FF867C}">
                  <a14:compatExt spid="_x0000_s51264"/>
                </a:ext>
                <a:ext uri="{FF2B5EF4-FFF2-40B4-BE49-F238E27FC236}">
                  <a16:creationId xmlns:a16="http://schemas.microsoft.com/office/drawing/2014/main" id="{00000000-0008-0000-0100-00004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35</xdr:row>
          <xdr:rowOff>47625</xdr:rowOff>
        </xdr:from>
        <xdr:to>
          <xdr:col>11</xdr:col>
          <xdr:colOff>314325</xdr:colOff>
          <xdr:row>35</xdr:row>
          <xdr:rowOff>266700</xdr:rowOff>
        </xdr:to>
        <xdr:sp macro="" textlink="">
          <xdr:nvSpPr>
            <xdr:cNvPr id="51265" name="OptionButton28" hidden="1">
              <a:extLst>
                <a:ext uri="{63B3BB69-23CF-44E3-9099-C40C66FF867C}">
                  <a14:compatExt spid="_x0000_s51265"/>
                </a:ext>
                <a:ext uri="{FF2B5EF4-FFF2-40B4-BE49-F238E27FC236}">
                  <a16:creationId xmlns:a16="http://schemas.microsoft.com/office/drawing/2014/main" id="{00000000-0008-0000-0100-00004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3981450</xdr:colOff>
          <xdr:row>26</xdr:row>
          <xdr:rowOff>38100</xdr:rowOff>
        </xdr:from>
        <xdr:to>
          <xdr:col>10</xdr:col>
          <xdr:colOff>28575</xdr:colOff>
          <xdr:row>26</xdr:row>
          <xdr:rowOff>285750</xdr:rowOff>
        </xdr:to>
        <xdr:sp macro="" textlink="">
          <xdr:nvSpPr>
            <xdr:cNvPr id="51266" name="OptionButton10" hidden="1">
              <a:extLst>
                <a:ext uri="{63B3BB69-23CF-44E3-9099-C40C66FF867C}">
                  <a14:compatExt spid="_x0000_s51266"/>
                </a:ext>
                <a:ext uri="{FF2B5EF4-FFF2-40B4-BE49-F238E27FC236}">
                  <a16:creationId xmlns:a16="http://schemas.microsoft.com/office/drawing/2014/main" id="{00000000-0008-0000-0100-00004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</xdr:colOff>
          <xdr:row>26</xdr:row>
          <xdr:rowOff>38100</xdr:rowOff>
        </xdr:from>
        <xdr:to>
          <xdr:col>11</xdr:col>
          <xdr:colOff>342900</xdr:colOff>
          <xdr:row>26</xdr:row>
          <xdr:rowOff>276225</xdr:rowOff>
        </xdr:to>
        <xdr:sp macro="" textlink="">
          <xdr:nvSpPr>
            <xdr:cNvPr id="51267" name="OptionButton13" hidden="1">
              <a:extLst>
                <a:ext uri="{63B3BB69-23CF-44E3-9099-C40C66FF867C}">
                  <a14:compatExt spid="_x0000_s51267"/>
                </a:ext>
                <a:ext uri="{FF2B5EF4-FFF2-40B4-BE49-F238E27FC236}">
                  <a16:creationId xmlns:a16="http://schemas.microsoft.com/office/drawing/2014/main" id="{00000000-0008-0000-0100-00004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3562350</xdr:colOff>
          <xdr:row>33</xdr:row>
          <xdr:rowOff>28575</xdr:rowOff>
        </xdr:from>
        <xdr:to>
          <xdr:col>9</xdr:col>
          <xdr:colOff>4657725</xdr:colOff>
          <xdr:row>33</xdr:row>
          <xdr:rowOff>266700</xdr:rowOff>
        </xdr:to>
        <xdr:sp macro="" textlink="">
          <xdr:nvSpPr>
            <xdr:cNvPr id="51268" name="OptionButton16" hidden="1">
              <a:extLst>
                <a:ext uri="{63B3BB69-23CF-44E3-9099-C40C66FF867C}">
                  <a14:compatExt spid="_x0000_s51268"/>
                </a:ext>
                <a:ext uri="{FF2B5EF4-FFF2-40B4-BE49-F238E27FC236}">
                  <a16:creationId xmlns:a16="http://schemas.microsoft.com/office/drawing/2014/main" id="{00000000-0008-0000-0100-00004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4676775</xdr:colOff>
          <xdr:row>33</xdr:row>
          <xdr:rowOff>28575</xdr:rowOff>
        </xdr:from>
        <xdr:to>
          <xdr:col>11</xdr:col>
          <xdr:colOff>361950</xdr:colOff>
          <xdr:row>33</xdr:row>
          <xdr:rowOff>276225</xdr:rowOff>
        </xdr:to>
        <xdr:sp macro="" textlink="">
          <xdr:nvSpPr>
            <xdr:cNvPr id="51269" name="OptionButton17" hidden="1">
              <a:extLst>
                <a:ext uri="{63B3BB69-23CF-44E3-9099-C40C66FF867C}">
                  <a14:compatExt spid="_x0000_s51269"/>
                </a:ext>
                <a:ext uri="{FF2B5EF4-FFF2-40B4-BE49-F238E27FC236}">
                  <a16:creationId xmlns:a16="http://schemas.microsoft.com/office/drawing/2014/main" id="{00000000-0008-0000-0100-00004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123825</xdr:colOff>
          <xdr:row>14</xdr:row>
          <xdr:rowOff>28575</xdr:rowOff>
        </xdr:from>
        <xdr:to>
          <xdr:col>11</xdr:col>
          <xdr:colOff>352425</xdr:colOff>
          <xdr:row>14</xdr:row>
          <xdr:rowOff>276225</xdr:rowOff>
        </xdr:to>
        <xdr:sp macro="" textlink="">
          <xdr:nvSpPr>
            <xdr:cNvPr id="51270" name="OptionButton3" hidden="1">
              <a:extLst>
                <a:ext uri="{63B3BB69-23CF-44E3-9099-C40C66FF867C}">
                  <a14:compatExt spid="_x0000_s51270"/>
                </a:ext>
                <a:ext uri="{FF2B5EF4-FFF2-40B4-BE49-F238E27FC236}">
                  <a16:creationId xmlns:a16="http://schemas.microsoft.com/office/drawing/2014/main" id="{00000000-0008-0000-0100-00004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2628900</xdr:colOff>
          <xdr:row>16</xdr:row>
          <xdr:rowOff>38100</xdr:rowOff>
        </xdr:from>
        <xdr:to>
          <xdr:col>9</xdr:col>
          <xdr:colOff>3162300</xdr:colOff>
          <xdr:row>16</xdr:row>
          <xdr:rowOff>266700</xdr:rowOff>
        </xdr:to>
        <xdr:sp macro="" textlink="">
          <xdr:nvSpPr>
            <xdr:cNvPr id="51271" name="OptionButton4" hidden="1">
              <a:extLst>
                <a:ext uri="{63B3BB69-23CF-44E3-9099-C40C66FF867C}">
                  <a14:compatExt spid="_x0000_s51271"/>
                </a:ext>
                <a:ext uri="{FF2B5EF4-FFF2-40B4-BE49-F238E27FC236}">
                  <a16:creationId xmlns:a16="http://schemas.microsoft.com/office/drawing/2014/main" id="{00000000-0008-0000-0100-00004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3190875</xdr:colOff>
          <xdr:row>16</xdr:row>
          <xdr:rowOff>38100</xdr:rowOff>
        </xdr:from>
        <xdr:to>
          <xdr:col>9</xdr:col>
          <xdr:colOff>3952875</xdr:colOff>
          <xdr:row>16</xdr:row>
          <xdr:rowOff>276225</xdr:rowOff>
        </xdr:to>
        <xdr:sp macro="" textlink="">
          <xdr:nvSpPr>
            <xdr:cNvPr id="51272" name="OptionButton18" hidden="1">
              <a:extLst>
                <a:ext uri="{63B3BB69-23CF-44E3-9099-C40C66FF867C}">
                  <a14:compatExt spid="_x0000_s51272"/>
                </a:ext>
                <a:ext uri="{FF2B5EF4-FFF2-40B4-BE49-F238E27FC236}">
                  <a16:creationId xmlns:a16="http://schemas.microsoft.com/office/drawing/2014/main" id="{00000000-0008-0000-0100-00004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3981450</xdr:colOff>
          <xdr:row>16</xdr:row>
          <xdr:rowOff>38100</xdr:rowOff>
        </xdr:from>
        <xdr:to>
          <xdr:col>10</xdr:col>
          <xdr:colOff>28575</xdr:colOff>
          <xdr:row>16</xdr:row>
          <xdr:rowOff>285750</xdr:rowOff>
        </xdr:to>
        <xdr:sp macro="" textlink="">
          <xdr:nvSpPr>
            <xdr:cNvPr id="51273" name="OptionButton24" hidden="1">
              <a:extLst>
                <a:ext uri="{63B3BB69-23CF-44E3-9099-C40C66FF867C}">
                  <a14:compatExt spid="_x0000_s51273"/>
                </a:ext>
                <a:ext uri="{FF2B5EF4-FFF2-40B4-BE49-F238E27FC236}">
                  <a16:creationId xmlns:a16="http://schemas.microsoft.com/office/drawing/2014/main" id="{00000000-0008-0000-0100-00004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</xdr:colOff>
          <xdr:row>16</xdr:row>
          <xdr:rowOff>38100</xdr:rowOff>
        </xdr:from>
        <xdr:to>
          <xdr:col>11</xdr:col>
          <xdr:colOff>342900</xdr:colOff>
          <xdr:row>16</xdr:row>
          <xdr:rowOff>276225</xdr:rowOff>
        </xdr:to>
        <xdr:sp macro="" textlink="">
          <xdr:nvSpPr>
            <xdr:cNvPr id="51274" name="OptionButton25" hidden="1">
              <a:extLst>
                <a:ext uri="{63B3BB69-23CF-44E3-9099-C40C66FF867C}">
                  <a14:compatExt spid="_x0000_s51274"/>
                </a:ext>
                <a:ext uri="{FF2B5EF4-FFF2-40B4-BE49-F238E27FC236}">
                  <a16:creationId xmlns:a16="http://schemas.microsoft.com/office/drawing/2014/main" id="{00000000-0008-0000-0100-00004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1943100</xdr:colOff>
          <xdr:row>30</xdr:row>
          <xdr:rowOff>285750</xdr:rowOff>
        </xdr:from>
        <xdr:to>
          <xdr:col>14</xdr:col>
          <xdr:colOff>9525</xdr:colOff>
          <xdr:row>31</xdr:row>
          <xdr:rowOff>295275</xdr:rowOff>
        </xdr:to>
        <xdr:sp macro="" textlink="">
          <xdr:nvSpPr>
            <xdr:cNvPr id="51275" name="Button 75" hidden="1">
              <a:extLst>
                <a:ext uri="{63B3BB69-23CF-44E3-9099-C40C66FF867C}">
                  <a14:compatExt spid="_x0000_s51275"/>
                </a:ext>
                <a:ext uri="{FF2B5EF4-FFF2-40B4-BE49-F238E27FC236}">
                  <a16:creationId xmlns:a16="http://schemas.microsoft.com/office/drawing/2014/main" id="{00000000-0008-0000-0100-00004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Set ALL to No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4324864</xdr:colOff>
      <xdr:row>29</xdr:row>
      <xdr:rowOff>36129</xdr:rowOff>
    </xdr:from>
    <xdr:to>
      <xdr:col>3</xdr:col>
      <xdr:colOff>5396406</xdr:colOff>
      <xdr:row>30</xdr:row>
      <xdr:rowOff>3285</xdr:rowOff>
    </xdr:to>
    <xdr:sp macro="" textlink="">
      <xdr:nvSpPr>
        <xdr:cNvPr id="77" name="Arrow: Up 5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/>
      </xdr:nvSpPr>
      <xdr:spPr bwMode="auto">
        <a:xfrm rot="5400000">
          <a:off x="5348544" y="4670299"/>
          <a:ext cx="281481" cy="1071542"/>
        </a:xfrm>
        <a:prstGeom prst="upArrow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4341395</xdr:colOff>
      <xdr:row>30</xdr:row>
      <xdr:rowOff>37444</xdr:rowOff>
    </xdr:from>
    <xdr:to>
      <xdr:col>3</xdr:col>
      <xdr:colOff>5397719</xdr:colOff>
      <xdr:row>31</xdr:row>
      <xdr:rowOff>4600</xdr:rowOff>
    </xdr:to>
    <xdr:sp macro="" textlink="">
      <xdr:nvSpPr>
        <xdr:cNvPr id="78" name="Arrow: Up 110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/>
      </xdr:nvSpPr>
      <xdr:spPr bwMode="auto">
        <a:xfrm rot="5400000">
          <a:off x="5357466" y="4993548"/>
          <a:ext cx="281481" cy="1056324"/>
        </a:xfrm>
        <a:prstGeom prst="upArrow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4321341</xdr:colOff>
      <xdr:row>29</xdr:row>
      <xdr:rowOff>60157</xdr:rowOff>
    </xdr:from>
    <xdr:to>
      <xdr:col>3</xdr:col>
      <xdr:colOff>5143500</xdr:colOff>
      <xdr:row>30</xdr:row>
      <xdr:rowOff>250659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 txBox="1"/>
      </xdr:nvSpPr>
      <xdr:spPr>
        <a:xfrm>
          <a:off x="4949991" y="5089357"/>
          <a:ext cx="822159" cy="50482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Both Can't be YES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66675</xdr:colOff>
          <xdr:row>20</xdr:row>
          <xdr:rowOff>9525</xdr:rowOff>
        </xdr:from>
        <xdr:to>
          <xdr:col>13</xdr:col>
          <xdr:colOff>1266825</xdr:colOff>
          <xdr:row>21</xdr:row>
          <xdr:rowOff>57150</xdr:rowOff>
        </xdr:to>
        <xdr:sp macro="" textlink="">
          <xdr:nvSpPr>
            <xdr:cNvPr id="51276" name="Drop Down 76" hidden="1">
              <a:extLst>
                <a:ext uri="{63B3BB69-23CF-44E3-9099-C40C66FF867C}">
                  <a14:compatExt spid="_x0000_s51276"/>
                </a:ext>
                <a:ext uri="{FF2B5EF4-FFF2-40B4-BE49-F238E27FC236}">
                  <a16:creationId xmlns:a16="http://schemas.microsoft.com/office/drawing/2014/main" id="{00000000-0008-0000-0100-00004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</xdr:colOff>
          <xdr:row>23</xdr:row>
          <xdr:rowOff>19050</xdr:rowOff>
        </xdr:from>
        <xdr:to>
          <xdr:col>13</xdr:col>
          <xdr:colOff>1257300</xdr:colOff>
          <xdr:row>24</xdr:row>
          <xdr:rowOff>9525</xdr:rowOff>
        </xdr:to>
        <xdr:sp macro="" textlink="">
          <xdr:nvSpPr>
            <xdr:cNvPr id="51277" name="Drop Down 77" hidden="1">
              <a:extLst>
                <a:ext uri="{63B3BB69-23CF-44E3-9099-C40C66FF867C}">
                  <a14:compatExt spid="_x0000_s51277"/>
                </a:ext>
                <a:ext uri="{FF2B5EF4-FFF2-40B4-BE49-F238E27FC236}">
                  <a16:creationId xmlns:a16="http://schemas.microsoft.com/office/drawing/2014/main" id="{00000000-0008-0000-0100-00004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320842</xdr:colOff>
      <xdr:row>25</xdr:row>
      <xdr:rowOff>0</xdr:rowOff>
    </xdr:from>
    <xdr:to>
      <xdr:col>13</xdr:col>
      <xdr:colOff>934675</xdr:colOff>
      <xdr:row>29</xdr:row>
      <xdr:rowOff>38467</xdr:rowOff>
    </xdr:to>
    <xdr:sp macro="" textlink="">
      <xdr:nvSpPr>
        <xdr:cNvPr id="83" name="Up Arrow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 bwMode="auto">
        <a:xfrm>
          <a:off x="13936579" y="3729789"/>
          <a:ext cx="613833" cy="1281731"/>
        </a:xfrm>
        <a:prstGeom prst="upArrow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1619250</xdr:colOff>
          <xdr:row>21</xdr:row>
          <xdr:rowOff>0</xdr:rowOff>
        </xdr:from>
        <xdr:to>
          <xdr:col>15</xdr:col>
          <xdr:colOff>85725</xdr:colOff>
          <xdr:row>24</xdr:row>
          <xdr:rowOff>85725</xdr:rowOff>
        </xdr:to>
        <xdr:sp macro="" textlink="">
          <xdr:nvSpPr>
            <xdr:cNvPr id="51280" name="Button 80" hidden="1">
              <a:extLst>
                <a:ext uri="{63B3BB69-23CF-44E3-9099-C40C66FF867C}">
                  <a14:compatExt spid="_x0000_s51280"/>
                </a:ext>
                <a:ext uri="{FF2B5EF4-FFF2-40B4-BE49-F238E27FC236}">
                  <a16:creationId xmlns:a16="http://schemas.microsoft.com/office/drawing/2014/main" id="{00000000-0008-0000-0100-00005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1" u="none" strike="noStrike" baseline="0">
                  <a:solidFill>
                    <a:srgbClr val="FF0000"/>
                  </a:solidFill>
                  <a:latin typeface="Times New Roman"/>
                  <a:cs typeface="Times New Roman"/>
                </a:rPr>
                <a:t>RECORD TEAM SCORE</a:t>
              </a:r>
              <a:endParaRPr lang="en-US" sz="1200" b="1" i="1" u="none" strike="noStrike" baseline="0">
                <a:solidFill>
                  <a:srgbClr val="FF0000"/>
                </a:solidFill>
                <a:latin typeface="Times New Roman"/>
                <a:cs typeface="Times New Roman"/>
              </a:endParaRPr>
            </a:p>
            <a:p>
              <a:pPr algn="ctr" rtl="0">
                <a:defRPr sz="1000"/>
              </a:pPr>
              <a:r>
                <a:rPr lang="en-US" sz="1200" b="1" i="1" u="none" strike="noStrike" baseline="0">
                  <a:solidFill>
                    <a:srgbClr val="FF0000"/>
                  </a:solidFill>
                  <a:latin typeface="Times New Roman"/>
                  <a:cs typeface="Times New Roman"/>
                </a:rPr>
                <a:t>(CLICK THIS BUTTON TO RECORD SCORES IN DATABASE)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1859882</xdr:colOff>
      <xdr:row>24</xdr:row>
      <xdr:rowOff>220578</xdr:rowOff>
    </xdr:from>
    <xdr:to>
      <xdr:col>13</xdr:col>
      <xdr:colOff>3066385</xdr:colOff>
      <xdr:row>30</xdr:row>
      <xdr:rowOff>288864</xdr:rowOff>
    </xdr:to>
    <xdr:sp macro="" textlink="">
      <xdr:nvSpPr>
        <xdr:cNvPr id="86" name="Bent Arrow 85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SpPr/>
      </xdr:nvSpPr>
      <xdr:spPr bwMode="auto">
        <a:xfrm rot="10800000">
          <a:off x="15475619" y="3639552"/>
          <a:ext cx="1206503" cy="1933180"/>
        </a:xfrm>
        <a:prstGeom prst="bentArrow">
          <a:avLst>
            <a:gd name="adj1" fmla="val 25000"/>
            <a:gd name="adj2" fmla="val 20879"/>
            <a:gd name="adj3" fmla="val 26099"/>
            <a:gd name="adj4" fmla="val 43750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  <a:p>
          <a:pPr algn="l"/>
          <a:endParaRPr lang="en-US" sz="1100"/>
        </a:p>
        <a:p>
          <a:pPr algn="l"/>
          <a:endParaRPr lang="en-US" sz="1100"/>
        </a:p>
        <a:p>
          <a:pPr algn="l"/>
          <a:endParaRPr lang="en-US" sz="1100"/>
        </a:p>
        <a:p>
          <a:pPr algn="l"/>
          <a:r>
            <a:rPr lang="en-US" sz="2000"/>
            <a:t>THEN</a:t>
          </a:r>
        </a:p>
      </xdr:txBody>
    </xdr:sp>
    <xdr:clientData/>
  </xdr:twoCellAnchor>
  <xdr:oneCellAnchor>
    <xdr:from>
      <xdr:col>3</xdr:col>
      <xdr:colOff>1033443</xdr:colOff>
      <xdr:row>20</xdr:row>
      <xdr:rowOff>266352</xdr:rowOff>
    </xdr:from>
    <xdr:ext cx="11258980" cy="2690929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 rot="20288842">
          <a:off x="1706997" y="2457102"/>
          <a:ext cx="11258980" cy="269092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600" b="1"/>
            <a:t>DO NOT USE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</xdr:row>
          <xdr:rowOff>19050</xdr:rowOff>
        </xdr:from>
        <xdr:to>
          <xdr:col>3</xdr:col>
          <xdr:colOff>1009650</xdr:colOff>
          <xdr:row>2</xdr:row>
          <xdr:rowOff>304800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1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Determine Ranking</a:t>
              </a:r>
            </a:p>
          </xdr:txBody>
        </xdr:sp>
        <xdr:clientData fPrintsWithSheet="0"/>
      </xdr:twoCellAnchor>
    </mc:Choice>
    <mc:Fallback/>
  </mc:AlternateContent>
  <xdr:oneCellAnchor>
    <xdr:from>
      <xdr:col>3</xdr:col>
      <xdr:colOff>101856</xdr:colOff>
      <xdr:row>4</xdr:row>
      <xdr:rowOff>87987</xdr:rowOff>
    </xdr:from>
    <xdr:ext cx="4759261" cy="1125501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 rot="20288842">
          <a:off x="1451685" y="1693630"/>
          <a:ext cx="4759261" cy="11255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6600" b="1"/>
            <a:t>DO NOT USE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</xdr:row>
          <xdr:rowOff>0</xdr:rowOff>
        </xdr:from>
        <xdr:to>
          <xdr:col>4</xdr:col>
          <xdr:colOff>0</xdr:colOff>
          <xdr:row>1</xdr:row>
          <xdr:rowOff>342900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1" u="none" strike="noStrike" baseline="0">
                  <a:solidFill>
                    <a:srgbClr val="FF0000"/>
                  </a:solidFill>
                  <a:latin typeface="Times New Roman"/>
                  <a:cs typeface="Times New Roman"/>
                </a:rPr>
                <a:t>Calculate Current Rankings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1</xdr:row>
          <xdr:rowOff>76200</xdr:rowOff>
        </xdr:from>
        <xdr:to>
          <xdr:col>0</xdr:col>
          <xdr:colOff>638175</xdr:colOff>
          <xdr:row>2</xdr:row>
          <xdr:rowOff>9525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Scroll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180975</xdr:colOff>
          <xdr:row>1</xdr:row>
          <xdr:rowOff>85725</xdr:rowOff>
        </xdr:from>
        <xdr:to>
          <xdr:col>2</xdr:col>
          <xdr:colOff>685800</xdr:colOff>
          <xdr:row>2</xdr:row>
          <xdr:rowOff>9525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213360</xdr:colOff>
      <xdr:row>0</xdr:row>
      <xdr:rowOff>60960</xdr:rowOff>
    </xdr:from>
    <xdr:to>
      <xdr:col>8</xdr:col>
      <xdr:colOff>640080</xdr:colOff>
      <xdr:row>3</xdr:row>
      <xdr:rowOff>22860</xdr:rowOff>
    </xdr:to>
    <xdr:pic>
      <xdr:nvPicPr>
        <xdr:cNvPr id="2" name="Picture 1" descr="FIRST LEGO League Current Season Logo">
          <a:extLst>
            <a:ext uri="{FF2B5EF4-FFF2-40B4-BE49-F238E27FC236}">
              <a16:creationId xmlns:a16="http://schemas.microsoft.com/office/drawing/2014/main" id="{27D8D89A-0AE6-E441-59CC-CFB0689E67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93280" y="60960"/>
          <a:ext cx="1135380" cy="1135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422030</xdr:colOff>
      <xdr:row>14</xdr:row>
      <xdr:rowOff>11721</xdr:rowOff>
    </xdr:from>
    <xdr:to>
      <xdr:col>25</xdr:col>
      <xdr:colOff>211015</xdr:colOff>
      <xdr:row>39</xdr:row>
      <xdr:rowOff>46891</xdr:rowOff>
    </xdr:to>
    <xdr:pic>
      <xdr:nvPicPr>
        <xdr:cNvPr id="3" name="Picture 2" descr="FIRST LEGO League Current Season Logo">
          <a:extLst>
            <a:ext uri="{FF2B5EF4-FFF2-40B4-BE49-F238E27FC236}">
              <a16:creationId xmlns:a16="http://schemas.microsoft.com/office/drawing/2014/main" id="{AF2F0A6C-2DE0-440D-8C35-91D812D7F1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05845" y="2309444"/>
          <a:ext cx="4138247" cy="413824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57.emf"/><Relationship Id="rId21" Type="http://schemas.openxmlformats.org/officeDocument/2006/relationships/image" Target="../media/image9.emf"/><Relationship Id="rId42" Type="http://schemas.openxmlformats.org/officeDocument/2006/relationships/control" Target="../activeX/activeX20.xml"/><Relationship Id="rId63" Type="http://schemas.openxmlformats.org/officeDocument/2006/relationships/image" Target="../media/image30.emf"/><Relationship Id="rId84" Type="http://schemas.openxmlformats.org/officeDocument/2006/relationships/control" Target="../activeX/activeX41.xml"/><Relationship Id="rId138" Type="http://schemas.openxmlformats.org/officeDocument/2006/relationships/control" Target="../activeX/activeX68.xml"/><Relationship Id="rId107" Type="http://schemas.openxmlformats.org/officeDocument/2006/relationships/image" Target="../media/image52.emf"/><Relationship Id="rId11" Type="http://schemas.openxmlformats.org/officeDocument/2006/relationships/image" Target="../media/image4.emf"/><Relationship Id="rId32" Type="http://schemas.openxmlformats.org/officeDocument/2006/relationships/control" Target="../activeX/activeX15.xml"/><Relationship Id="rId53" Type="http://schemas.openxmlformats.org/officeDocument/2006/relationships/image" Target="../media/image25.emf"/><Relationship Id="rId74" Type="http://schemas.openxmlformats.org/officeDocument/2006/relationships/control" Target="../activeX/activeX36.xml"/><Relationship Id="rId128" Type="http://schemas.openxmlformats.org/officeDocument/2006/relationships/control" Target="../activeX/activeX63.xml"/><Relationship Id="rId149" Type="http://schemas.openxmlformats.org/officeDocument/2006/relationships/ctrlProp" Target="../ctrlProps/ctrlProp2.xml"/><Relationship Id="rId5" Type="http://schemas.openxmlformats.org/officeDocument/2006/relationships/image" Target="../media/image1.emf"/><Relationship Id="rId95" Type="http://schemas.openxmlformats.org/officeDocument/2006/relationships/image" Target="../media/image46.emf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64" Type="http://schemas.openxmlformats.org/officeDocument/2006/relationships/control" Target="../activeX/activeX31.xml"/><Relationship Id="rId69" Type="http://schemas.openxmlformats.org/officeDocument/2006/relationships/image" Target="../media/image33.emf"/><Relationship Id="rId113" Type="http://schemas.openxmlformats.org/officeDocument/2006/relationships/image" Target="../media/image55.emf"/><Relationship Id="rId118" Type="http://schemas.openxmlformats.org/officeDocument/2006/relationships/control" Target="../activeX/activeX58.xml"/><Relationship Id="rId134" Type="http://schemas.openxmlformats.org/officeDocument/2006/relationships/control" Target="../activeX/activeX66.xml"/><Relationship Id="rId139" Type="http://schemas.openxmlformats.org/officeDocument/2006/relationships/image" Target="../media/image68.emf"/><Relationship Id="rId80" Type="http://schemas.openxmlformats.org/officeDocument/2006/relationships/control" Target="../activeX/activeX39.xml"/><Relationship Id="rId85" Type="http://schemas.openxmlformats.org/officeDocument/2006/relationships/image" Target="../media/image41.emf"/><Relationship Id="rId150" Type="http://schemas.openxmlformats.org/officeDocument/2006/relationships/ctrlProp" Target="../ctrlProps/ctrlProp3.x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59" Type="http://schemas.openxmlformats.org/officeDocument/2006/relationships/image" Target="../media/image28.emf"/><Relationship Id="rId103" Type="http://schemas.openxmlformats.org/officeDocument/2006/relationships/image" Target="../media/image50.emf"/><Relationship Id="rId108" Type="http://schemas.openxmlformats.org/officeDocument/2006/relationships/control" Target="../activeX/activeX53.xml"/><Relationship Id="rId124" Type="http://schemas.openxmlformats.org/officeDocument/2006/relationships/control" Target="../activeX/activeX61.xml"/><Relationship Id="rId129" Type="http://schemas.openxmlformats.org/officeDocument/2006/relationships/image" Target="../media/image63.emf"/><Relationship Id="rId54" Type="http://schemas.openxmlformats.org/officeDocument/2006/relationships/control" Target="../activeX/activeX26.xml"/><Relationship Id="rId70" Type="http://schemas.openxmlformats.org/officeDocument/2006/relationships/control" Target="../activeX/activeX34.xml"/><Relationship Id="rId75" Type="http://schemas.openxmlformats.org/officeDocument/2006/relationships/image" Target="../media/image36.emf"/><Relationship Id="rId91" Type="http://schemas.openxmlformats.org/officeDocument/2006/relationships/image" Target="../media/image44.emf"/><Relationship Id="rId96" Type="http://schemas.openxmlformats.org/officeDocument/2006/relationships/control" Target="../activeX/activeX47.xml"/><Relationship Id="rId140" Type="http://schemas.openxmlformats.org/officeDocument/2006/relationships/control" Target="../activeX/activeX69.xml"/><Relationship Id="rId145" Type="http://schemas.openxmlformats.org/officeDocument/2006/relationships/image" Target="../media/image71.emf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49" Type="http://schemas.openxmlformats.org/officeDocument/2006/relationships/image" Target="../media/image23.emf"/><Relationship Id="rId114" Type="http://schemas.openxmlformats.org/officeDocument/2006/relationships/control" Target="../activeX/activeX56.xml"/><Relationship Id="rId119" Type="http://schemas.openxmlformats.org/officeDocument/2006/relationships/image" Target="../media/image58.emf"/><Relationship Id="rId44" Type="http://schemas.openxmlformats.org/officeDocument/2006/relationships/control" Target="../activeX/activeX21.xml"/><Relationship Id="rId60" Type="http://schemas.openxmlformats.org/officeDocument/2006/relationships/control" Target="../activeX/activeX29.xml"/><Relationship Id="rId65" Type="http://schemas.openxmlformats.org/officeDocument/2006/relationships/image" Target="../media/image31.emf"/><Relationship Id="rId81" Type="http://schemas.openxmlformats.org/officeDocument/2006/relationships/image" Target="../media/image39.emf"/><Relationship Id="rId86" Type="http://schemas.openxmlformats.org/officeDocument/2006/relationships/control" Target="../activeX/activeX42.xml"/><Relationship Id="rId130" Type="http://schemas.openxmlformats.org/officeDocument/2006/relationships/control" Target="../activeX/activeX64.xml"/><Relationship Id="rId135" Type="http://schemas.openxmlformats.org/officeDocument/2006/relationships/image" Target="../media/image66.emf"/><Relationship Id="rId151" Type="http://schemas.openxmlformats.org/officeDocument/2006/relationships/ctrlProp" Target="../ctrlProps/ctrlProp4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9" Type="http://schemas.openxmlformats.org/officeDocument/2006/relationships/image" Target="../media/image18.emf"/><Relationship Id="rId109" Type="http://schemas.openxmlformats.org/officeDocument/2006/relationships/image" Target="../media/image53.emf"/><Relationship Id="rId34" Type="http://schemas.openxmlformats.org/officeDocument/2006/relationships/control" Target="../activeX/activeX16.xml"/><Relationship Id="rId50" Type="http://schemas.openxmlformats.org/officeDocument/2006/relationships/control" Target="../activeX/activeX24.xml"/><Relationship Id="rId55" Type="http://schemas.openxmlformats.org/officeDocument/2006/relationships/image" Target="../media/image26.emf"/><Relationship Id="rId76" Type="http://schemas.openxmlformats.org/officeDocument/2006/relationships/control" Target="../activeX/activeX37.xml"/><Relationship Id="rId97" Type="http://schemas.openxmlformats.org/officeDocument/2006/relationships/image" Target="../media/image47.emf"/><Relationship Id="rId104" Type="http://schemas.openxmlformats.org/officeDocument/2006/relationships/control" Target="../activeX/activeX51.xml"/><Relationship Id="rId120" Type="http://schemas.openxmlformats.org/officeDocument/2006/relationships/control" Target="../activeX/activeX59.xml"/><Relationship Id="rId125" Type="http://schemas.openxmlformats.org/officeDocument/2006/relationships/image" Target="../media/image61.emf"/><Relationship Id="rId141" Type="http://schemas.openxmlformats.org/officeDocument/2006/relationships/image" Target="../media/image69.emf"/><Relationship Id="rId146" Type="http://schemas.openxmlformats.org/officeDocument/2006/relationships/control" Target="../activeX/activeX72.xml"/><Relationship Id="rId7" Type="http://schemas.openxmlformats.org/officeDocument/2006/relationships/image" Target="../media/image2.emf"/><Relationship Id="rId71" Type="http://schemas.openxmlformats.org/officeDocument/2006/relationships/image" Target="../media/image34.emf"/><Relationship Id="rId92" Type="http://schemas.openxmlformats.org/officeDocument/2006/relationships/control" Target="../activeX/activeX45.xml"/><Relationship Id="rId2" Type="http://schemas.openxmlformats.org/officeDocument/2006/relationships/drawing" Target="../drawings/drawing2.xml"/><Relationship Id="rId29" Type="http://schemas.openxmlformats.org/officeDocument/2006/relationships/image" Target="../media/image13.emf"/><Relationship Id="rId24" Type="http://schemas.openxmlformats.org/officeDocument/2006/relationships/control" Target="../activeX/activeX11.xml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66" Type="http://schemas.openxmlformats.org/officeDocument/2006/relationships/control" Target="../activeX/activeX32.xml"/><Relationship Id="rId87" Type="http://schemas.openxmlformats.org/officeDocument/2006/relationships/image" Target="../media/image42.emf"/><Relationship Id="rId110" Type="http://schemas.openxmlformats.org/officeDocument/2006/relationships/control" Target="../activeX/activeX54.xml"/><Relationship Id="rId115" Type="http://schemas.openxmlformats.org/officeDocument/2006/relationships/image" Target="../media/image56.emf"/><Relationship Id="rId131" Type="http://schemas.openxmlformats.org/officeDocument/2006/relationships/image" Target="../media/image64.emf"/><Relationship Id="rId136" Type="http://schemas.openxmlformats.org/officeDocument/2006/relationships/control" Target="../activeX/activeX67.xml"/><Relationship Id="rId61" Type="http://schemas.openxmlformats.org/officeDocument/2006/relationships/image" Target="../media/image29.emf"/><Relationship Id="rId82" Type="http://schemas.openxmlformats.org/officeDocument/2006/relationships/control" Target="../activeX/activeX40.xml"/><Relationship Id="rId152" Type="http://schemas.openxmlformats.org/officeDocument/2006/relationships/ctrlProp" Target="../ctrlProps/ctrlProp5.xml"/><Relationship Id="rId19" Type="http://schemas.openxmlformats.org/officeDocument/2006/relationships/image" Target="../media/image8.emf"/><Relationship Id="rId14" Type="http://schemas.openxmlformats.org/officeDocument/2006/relationships/control" Target="../activeX/activeX6.xml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56" Type="http://schemas.openxmlformats.org/officeDocument/2006/relationships/control" Target="../activeX/activeX27.xml"/><Relationship Id="rId77" Type="http://schemas.openxmlformats.org/officeDocument/2006/relationships/image" Target="../media/image37.emf"/><Relationship Id="rId100" Type="http://schemas.openxmlformats.org/officeDocument/2006/relationships/control" Target="../activeX/activeX49.xml"/><Relationship Id="rId105" Type="http://schemas.openxmlformats.org/officeDocument/2006/relationships/image" Target="../media/image51.emf"/><Relationship Id="rId126" Type="http://schemas.openxmlformats.org/officeDocument/2006/relationships/control" Target="../activeX/activeX62.xml"/><Relationship Id="rId147" Type="http://schemas.openxmlformats.org/officeDocument/2006/relationships/image" Target="../media/image72.emf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72" Type="http://schemas.openxmlformats.org/officeDocument/2006/relationships/control" Target="../activeX/activeX35.xml"/><Relationship Id="rId93" Type="http://schemas.openxmlformats.org/officeDocument/2006/relationships/image" Target="../media/image45.emf"/><Relationship Id="rId98" Type="http://schemas.openxmlformats.org/officeDocument/2006/relationships/control" Target="../activeX/activeX48.xml"/><Relationship Id="rId121" Type="http://schemas.openxmlformats.org/officeDocument/2006/relationships/image" Target="../media/image59.emf"/><Relationship Id="rId142" Type="http://schemas.openxmlformats.org/officeDocument/2006/relationships/control" Target="../activeX/activeX70.xml"/><Relationship Id="rId3" Type="http://schemas.openxmlformats.org/officeDocument/2006/relationships/vmlDrawing" Target="../drawings/vmlDrawing1.vml"/><Relationship Id="rId25" Type="http://schemas.openxmlformats.org/officeDocument/2006/relationships/image" Target="../media/image11.emf"/><Relationship Id="rId46" Type="http://schemas.openxmlformats.org/officeDocument/2006/relationships/control" Target="../activeX/activeX22.xml"/><Relationship Id="rId67" Type="http://schemas.openxmlformats.org/officeDocument/2006/relationships/image" Target="../media/image32.emf"/><Relationship Id="rId116" Type="http://schemas.openxmlformats.org/officeDocument/2006/relationships/control" Target="../activeX/activeX57.xml"/><Relationship Id="rId137" Type="http://schemas.openxmlformats.org/officeDocument/2006/relationships/image" Target="../media/image67.emf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62" Type="http://schemas.openxmlformats.org/officeDocument/2006/relationships/control" Target="../activeX/activeX30.xml"/><Relationship Id="rId83" Type="http://schemas.openxmlformats.org/officeDocument/2006/relationships/image" Target="../media/image40.emf"/><Relationship Id="rId88" Type="http://schemas.openxmlformats.org/officeDocument/2006/relationships/control" Target="../activeX/activeX43.xml"/><Relationship Id="rId111" Type="http://schemas.openxmlformats.org/officeDocument/2006/relationships/image" Target="../media/image54.emf"/><Relationship Id="rId132" Type="http://schemas.openxmlformats.org/officeDocument/2006/relationships/control" Target="../activeX/activeX65.xml"/><Relationship Id="rId153" Type="http://schemas.openxmlformats.org/officeDocument/2006/relationships/ctrlProp" Target="../ctrlProps/ctrlProp6.xml"/><Relationship Id="rId15" Type="http://schemas.openxmlformats.org/officeDocument/2006/relationships/image" Target="../media/image6.emf"/><Relationship Id="rId36" Type="http://schemas.openxmlformats.org/officeDocument/2006/relationships/control" Target="../activeX/activeX17.xml"/><Relationship Id="rId57" Type="http://schemas.openxmlformats.org/officeDocument/2006/relationships/image" Target="../media/image27.emf"/><Relationship Id="rId106" Type="http://schemas.openxmlformats.org/officeDocument/2006/relationships/control" Target="../activeX/activeX52.xml"/><Relationship Id="rId127" Type="http://schemas.openxmlformats.org/officeDocument/2006/relationships/image" Target="../media/image62.emf"/><Relationship Id="rId10" Type="http://schemas.openxmlformats.org/officeDocument/2006/relationships/control" Target="../activeX/activeX4.xml"/><Relationship Id="rId31" Type="http://schemas.openxmlformats.org/officeDocument/2006/relationships/image" Target="../media/image14.emf"/><Relationship Id="rId52" Type="http://schemas.openxmlformats.org/officeDocument/2006/relationships/control" Target="../activeX/activeX25.xml"/><Relationship Id="rId73" Type="http://schemas.openxmlformats.org/officeDocument/2006/relationships/image" Target="../media/image35.emf"/><Relationship Id="rId78" Type="http://schemas.openxmlformats.org/officeDocument/2006/relationships/control" Target="../activeX/activeX38.xml"/><Relationship Id="rId94" Type="http://schemas.openxmlformats.org/officeDocument/2006/relationships/control" Target="../activeX/activeX46.xml"/><Relationship Id="rId99" Type="http://schemas.openxmlformats.org/officeDocument/2006/relationships/image" Target="../media/image48.emf"/><Relationship Id="rId101" Type="http://schemas.openxmlformats.org/officeDocument/2006/relationships/image" Target="../media/image49.emf"/><Relationship Id="rId122" Type="http://schemas.openxmlformats.org/officeDocument/2006/relationships/control" Target="../activeX/activeX60.xml"/><Relationship Id="rId143" Type="http://schemas.openxmlformats.org/officeDocument/2006/relationships/image" Target="../media/image70.emf"/><Relationship Id="rId148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26" Type="http://schemas.openxmlformats.org/officeDocument/2006/relationships/control" Target="../activeX/activeX12.xml"/><Relationship Id="rId47" Type="http://schemas.openxmlformats.org/officeDocument/2006/relationships/image" Target="../media/image22.emf"/><Relationship Id="rId68" Type="http://schemas.openxmlformats.org/officeDocument/2006/relationships/control" Target="../activeX/activeX33.xml"/><Relationship Id="rId89" Type="http://schemas.openxmlformats.org/officeDocument/2006/relationships/image" Target="../media/image43.emf"/><Relationship Id="rId112" Type="http://schemas.openxmlformats.org/officeDocument/2006/relationships/control" Target="../activeX/activeX55.xml"/><Relationship Id="rId133" Type="http://schemas.openxmlformats.org/officeDocument/2006/relationships/image" Target="../media/image65.emf"/><Relationship Id="rId16" Type="http://schemas.openxmlformats.org/officeDocument/2006/relationships/control" Target="../activeX/activeX7.xml"/><Relationship Id="rId37" Type="http://schemas.openxmlformats.org/officeDocument/2006/relationships/image" Target="../media/image17.emf"/><Relationship Id="rId58" Type="http://schemas.openxmlformats.org/officeDocument/2006/relationships/control" Target="../activeX/activeX28.xml"/><Relationship Id="rId79" Type="http://schemas.openxmlformats.org/officeDocument/2006/relationships/image" Target="../media/image38.emf"/><Relationship Id="rId102" Type="http://schemas.openxmlformats.org/officeDocument/2006/relationships/control" Target="../activeX/activeX50.xml"/><Relationship Id="rId123" Type="http://schemas.openxmlformats.org/officeDocument/2006/relationships/image" Target="../media/image60.emf"/><Relationship Id="rId144" Type="http://schemas.openxmlformats.org/officeDocument/2006/relationships/control" Target="../activeX/activeX71.xml"/><Relationship Id="rId90" Type="http://schemas.openxmlformats.org/officeDocument/2006/relationships/control" Target="../activeX/activeX4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M57"/>
  <sheetViews>
    <sheetView zoomScaleNormal="100" workbookViewId="0">
      <pane xSplit="4" ySplit="2" topLeftCell="E3" activePane="bottomRight" state="frozen"/>
      <selection activeCell="B1" sqref="B1"/>
      <selection pane="topRight" activeCell="E1" sqref="E1"/>
      <selection pane="bottomLeft" activeCell="B3" sqref="B3"/>
      <selection pane="bottomRight" activeCell="C22" sqref="C22"/>
    </sheetView>
  </sheetViews>
  <sheetFormatPr defaultColWidth="9.140625" defaultRowHeight="15.75" x14ac:dyDescent="0.25"/>
  <cols>
    <col min="1" max="1" width="3.28515625" style="30" hidden="1" customWidth="1"/>
    <col min="2" max="2" width="13.42578125" style="31" customWidth="1"/>
    <col min="3" max="3" width="50" style="31" bestFit="1" customWidth="1"/>
    <col min="4" max="4" width="56.140625" style="31" bestFit="1" customWidth="1"/>
    <col min="5" max="7" width="18" style="31" bestFit="1" customWidth="1"/>
    <col min="8" max="8" width="16.140625" style="31" customWidth="1"/>
    <col min="9" max="9" width="17" style="31" bestFit="1" customWidth="1"/>
    <col min="10" max="10" width="15" style="31" bestFit="1" customWidth="1"/>
    <col min="11" max="11" width="14.42578125" style="31" bestFit="1" customWidth="1"/>
    <col min="12" max="12" width="20.42578125" style="31" bestFit="1" customWidth="1"/>
    <col min="13" max="16384" width="9.140625" style="31"/>
  </cols>
  <sheetData>
    <row r="1" spans="2:12" ht="24" thickBot="1" x14ac:dyDescent="0.4">
      <c r="B1" s="225" t="s">
        <v>268</v>
      </c>
      <c r="C1" s="225"/>
      <c r="D1" s="225"/>
      <c r="E1" s="225"/>
      <c r="F1" s="225"/>
      <c r="G1" s="225"/>
      <c r="H1" s="225"/>
      <c r="I1" s="225"/>
      <c r="J1" s="225"/>
      <c r="K1" s="225"/>
      <c r="L1" s="225"/>
    </row>
    <row r="2" spans="2:12" ht="63.75" thickBot="1" x14ac:dyDescent="0.4">
      <c r="B2" s="32" t="s">
        <v>24</v>
      </c>
      <c r="C2" s="33" t="s">
        <v>25</v>
      </c>
      <c r="D2" s="34" t="s">
        <v>20</v>
      </c>
      <c r="E2" s="35" t="s">
        <v>77</v>
      </c>
      <c r="F2" s="35" t="s">
        <v>78</v>
      </c>
      <c r="G2" s="35" t="s">
        <v>79</v>
      </c>
      <c r="H2" s="35" t="s">
        <v>18</v>
      </c>
      <c r="I2" s="35" t="s">
        <v>19</v>
      </c>
      <c r="J2" s="35" t="s">
        <v>21</v>
      </c>
      <c r="K2" s="35" t="s">
        <v>22</v>
      </c>
      <c r="L2" s="36" t="s">
        <v>23</v>
      </c>
    </row>
    <row r="3" spans="2:12" ht="18.75" x14ac:dyDescent="0.3">
      <c r="B3" s="210">
        <v>3549</v>
      </c>
      <c r="C3" s="213" t="s">
        <v>216</v>
      </c>
      <c r="D3" s="212" t="s">
        <v>217</v>
      </c>
      <c r="E3" s="64"/>
      <c r="F3" s="220"/>
      <c r="G3" s="220"/>
      <c r="H3" s="220"/>
      <c r="I3" s="220"/>
      <c r="J3" s="220"/>
      <c r="K3" s="220"/>
      <c r="L3" s="221"/>
    </row>
    <row r="4" spans="2:12" ht="18.75" x14ac:dyDescent="0.3">
      <c r="B4" s="210">
        <v>3649</v>
      </c>
      <c r="C4" s="211" t="s">
        <v>218</v>
      </c>
      <c r="D4" s="212" t="s">
        <v>219</v>
      </c>
      <c r="E4" s="65"/>
      <c r="F4" s="37"/>
      <c r="G4" s="37"/>
      <c r="H4" s="37"/>
      <c r="I4" s="37"/>
      <c r="J4" s="37"/>
      <c r="K4" s="37"/>
      <c r="L4" s="41"/>
    </row>
    <row r="5" spans="2:12" ht="18.75" x14ac:dyDescent="0.3">
      <c r="B5" s="210">
        <v>16821</v>
      </c>
      <c r="C5" s="211" t="s">
        <v>220</v>
      </c>
      <c r="D5" s="212" t="s">
        <v>221</v>
      </c>
      <c r="E5" s="65"/>
      <c r="F5" s="38"/>
      <c r="G5" s="38"/>
      <c r="H5" s="38"/>
      <c r="I5" s="38"/>
      <c r="J5" s="38"/>
      <c r="K5" s="38"/>
      <c r="L5" s="39"/>
    </row>
    <row r="6" spans="2:12" ht="18.75" x14ac:dyDescent="0.3">
      <c r="B6" s="210">
        <v>17791</v>
      </c>
      <c r="C6" s="211" t="s">
        <v>222</v>
      </c>
      <c r="D6" s="212" t="s">
        <v>219</v>
      </c>
      <c r="E6" s="65"/>
      <c r="F6" s="38"/>
      <c r="G6" s="38"/>
      <c r="H6" s="38"/>
      <c r="I6" s="38"/>
      <c r="J6" s="38"/>
      <c r="K6" s="38"/>
      <c r="L6" s="39"/>
    </row>
    <row r="7" spans="2:12" ht="18.75" x14ac:dyDescent="0.3">
      <c r="B7" s="210">
        <v>17981</v>
      </c>
      <c r="C7" s="211" t="s">
        <v>223</v>
      </c>
      <c r="D7" s="212" t="s">
        <v>209</v>
      </c>
      <c r="E7" s="65"/>
      <c r="F7" s="38"/>
      <c r="G7" s="38"/>
      <c r="H7" s="38"/>
      <c r="I7" s="38"/>
      <c r="J7" s="38"/>
      <c r="K7" s="38"/>
      <c r="L7" s="39"/>
    </row>
    <row r="8" spans="2:12" ht="18.75" x14ac:dyDescent="0.3">
      <c r="B8" s="210">
        <v>22287</v>
      </c>
      <c r="C8" s="211" t="s">
        <v>203</v>
      </c>
      <c r="D8" s="212" t="s">
        <v>193</v>
      </c>
      <c r="E8" s="65"/>
      <c r="F8" s="38"/>
      <c r="G8" s="38"/>
      <c r="H8" s="38"/>
      <c r="I8" s="38"/>
      <c r="J8" s="38"/>
      <c r="K8" s="38"/>
      <c r="L8" s="39"/>
    </row>
    <row r="9" spans="2:12" ht="18.75" x14ac:dyDescent="0.3">
      <c r="B9" s="210">
        <v>23817</v>
      </c>
      <c r="C9" s="211" t="s">
        <v>224</v>
      </c>
      <c r="D9" s="212" t="s">
        <v>221</v>
      </c>
      <c r="E9" s="65"/>
      <c r="F9" s="38"/>
      <c r="G9" s="38"/>
      <c r="H9" s="38"/>
      <c r="I9" s="38"/>
      <c r="J9" s="38"/>
      <c r="K9" s="38"/>
      <c r="L9" s="39"/>
    </row>
    <row r="10" spans="2:12" ht="18.75" x14ac:dyDescent="0.3">
      <c r="B10" s="210">
        <v>25341</v>
      </c>
      <c r="C10" s="211" t="s">
        <v>225</v>
      </c>
      <c r="D10" s="212" t="s">
        <v>209</v>
      </c>
      <c r="E10" s="65"/>
      <c r="F10" s="38"/>
      <c r="G10" s="38"/>
      <c r="H10" s="38"/>
      <c r="I10" s="38"/>
      <c r="J10" s="38"/>
      <c r="K10" s="38"/>
      <c r="L10" s="39"/>
    </row>
    <row r="11" spans="2:12" ht="18.75" x14ac:dyDescent="0.3">
      <c r="B11" s="210">
        <v>27540</v>
      </c>
      <c r="C11" s="211" t="s">
        <v>201</v>
      </c>
      <c r="D11" s="212" t="s">
        <v>210</v>
      </c>
      <c r="E11" s="65"/>
      <c r="F11" s="38"/>
      <c r="G11" s="38"/>
      <c r="H11" s="38"/>
      <c r="I11" s="38"/>
      <c r="J11" s="38"/>
      <c r="K11" s="38"/>
      <c r="L11" s="39"/>
    </row>
    <row r="12" spans="2:12" ht="18.75" x14ac:dyDescent="0.3">
      <c r="B12" s="210">
        <v>29548</v>
      </c>
      <c r="C12" s="211" t="s">
        <v>202</v>
      </c>
      <c r="D12" s="212" t="s">
        <v>210</v>
      </c>
      <c r="E12" s="65"/>
      <c r="F12" s="38"/>
      <c r="G12" s="38"/>
      <c r="H12" s="38"/>
      <c r="I12" s="38"/>
      <c r="J12" s="38"/>
      <c r="K12" s="38"/>
      <c r="L12" s="39"/>
    </row>
    <row r="13" spans="2:12" ht="18.75" x14ac:dyDescent="0.3">
      <c r="B13" s="210">
        <v>31568</v>
      </c>
      <c r="C13" s="211" t="s">
        <v>226</v>
      </c>
      <c r="D13" s="212" t="s">
        <v>217</v>
      </c>
      <c r="E13" s="65"/>
      <c r="F13" s="38"/>
      <c r="G13" s="38"/>
      <c r="H13" s="38"/>
      <c r="I13" s="38"/>
      <c r="J13" s="38"/>
      <c r="K13" s="38"/>
      <c r="L13" s="39"/>
    </row>
    <row r="14" spans="2:12" ht="18.75" x14ac:dyDescent="0.3">
      <c r="B14" s="210">
        <v>31757</v>
      </c>
      <c r="C14" s="211" t="s">
        <v>227</v>
      </c>
      <c r="D14" s="212" t="s">
        <v>228</v>
      </c>
      <c r="E14" s="65"/>
      <c r="F14" s="38"/>
      <c r="G14" s="38"/>
      <c r="H14" s="38"/>
      <c r="I14" s="38"/>
      <c r="J14" s="38"/>
      <c r="K14" s="38"/>
      <c r="L14" s="39"/>
    </row>
    <row r="15" spans="2:12" ht="18.75" x14ac:dyDescent="0.3">
      <c r="B15" s="210">
        <v>36765</v>
      </c>
      <c r="C15" s="211" t="s">
        <v>229</v>
      </c>
      <c r="D15" s="212" t="s">
        <v>230</v>
      </c>
      <c r="E15" s="65"/>
      <c r="F15" s="38"/>
      <c r="G15" s="38"/>
      <c r="H15" s="38"/>
      <c r="I15" s="38"/>
      <c r="J15" s="38"/>
      <c r="K15" s="38"/>
      <c r="L15" s="39"/>
    </row>
    <row r="16" spans="2:12" ht="18.75" x14ac:dyDescent="0.3">
      <c r="B16" s="210">
        <v>37642</v>
      </c>
      <c r="C16" s="223" t="s">
        <v>272</v>
      </c>
      <c r="D16" s="212" t="s">
        <v>231</v>
      </c>
      <c r="E16" s="65"/>
      <c r="F16" s="38"/>
      <c r="G16" s="38"/>
      <c r="H16" s="38"/>
      <c r="I16" s="38"/>
      <c r="J16" s="38"/>
      <c r="K16" s="38"/>
      <c r="L16" s="39"/>
    </row>
    <row r="17" spans="2:13" ht="18.75" x14ac:dyDescent="0.3">
      <c r="B17" s="210">
        <v>38849</v>
      </c>
      <c r="C17" s="211" t="s">
        <v>232</v>
      </c>
      <c r="D17" s="212" t="s">
        <v>217</v>
      </c>
      <c r="E17" s="65"/>
      <c r="F17" s="38"/>
      <c r="G17" s="38"/>
      <c r="H17" s="38"/>
      <c r="I17" s="38"/>
      <c r="J17" s="38"/>
      <c r="K17" s="38"/>
      <c r="L17" s="39"/>
      <c r="M17" s="40"/>
    </row>
    <row r="18" spans="2:13" ht="18.75" x14ac:dyDescent="0.3">
      <c r="B18" s="210">
        <v>39483</v>
      </c>
      <c r="C18" s="211" t="s">
        <v>233</v>
      </c>
      <c r="D18" s="212" t="s">
        <v>209</v>
      </c>
      <c r="E18" s="65"/>
      <c r="F18" s="38"/>
      <c r="G18" s="38"/>
      <c r="H18" s="38"/>
      <c r="I18" s="38"/>
      <c r="J18" s="38"/>
      <c r="K18" s="38"/>
      <c r="L18" s="39"/>
    </row>
    <row r="19" spans="2:13" ht="18.75" x14ac:dyDescent="0.3">
      <c r="B19" s="210">
        <v>39827</v>
      </c>
      <c r="C19" s="211" t="s">
        <v>234</v>
      </c>
      <c r="D19" s="212" t="s">
        <v>235</v>
      </c>
      <c r="E19" s="65"/>
      <c r="F19" s="37"/>
      <c r="G19" s="37"/>
      <c r="H19" s="37"/>
      <c r="I19" s="37"/>
      <c r="J19" s="37"/>
      <c r="K19" s="37"/>
      <c r="L19" s="41"/>
    </row>
    <row r="20" spans="2:13" ht="18.75" x14ac:dyDescent="0.3">
      <c r="B20" s="210">
        <v>44281</v>
      </c>
      <c r="C20" s="211" t="s">
        <v>236</v>
      </c>
      <c r="D20" s="212" t="s">
        <v>237</v>
      </c>
      <c r="E20" s="65"/>
      <c r="F20" s="38"/>
      <c r="G20" s="38"/>
      <c r="H20" s="38"/>
      <c r="I20" s="38"/>
      <c r="J20" s="38"/>
      <c r="K20" s="38"/>
      <c r="L20" s="39"/>
    </row>
    <row r="21" spans="2:13" ht="18.75" x14ac:dyDescent="0.3">
      <c r="B21" s="210">
        <v>44289</v>
      </c>
      <c r="C21" s="223" t="s">
        <v>238</v>
      </c>
      <c r="D21" s="212" t="s">
        <v>237</v>
      </c>
      <c r="E21" s="65"/>
      <c r="F21" s="38"/>
      <c r="G21" s="38"/>
      <c r="H21" s="38"/>
      <c r="I21" s="38"/>
      <c r="J21" s="38"/>
      <c r="K21" s="38"/>
      <c r="L21" s="39"/>
    </row>
    <row r="22" spans="2:13" ht="18.75" x14ac:dyDescent="0.3">
      <c r="B22" s="210">
        <v>44628</v>
      </c>
      <c r="C22" s="224" t="s">
        <v>273</v>
      </c>
      <c r="D22" s="212" t="s">
        <v>211</v>
      </c>
      <c r="E22" s="65"/>
      <c r="F22" s="38"/>
      <c r="G22" s="38"/>
      <c r="H22" s="38"/>
      <c r="I22" s="38"/>
      <c r="J22" s="38"/>
      <c r="K22" s="38"/>
      <c r="L22" s="39"/>
    </row>
    <row r="23" spans="2:13" ht="18.75" x14ac:dyDescent="0.3">
      <c r="B23" s="210">
        <v>44820</v>
      </c>
      <c r="C23" s="211" t="s">
        <v>194</v>
      </c>
      <c r="D23" s="212" t="s">
        <v>212</v>
      </c>
      <c r="E23" s="65"/>
      <c r="F23" s="38"/>
      <c r="G23" s="38"/>
      <c r="H23" s="38"/>
      <c r="I23" s="38"/>
      <c r="J23" s="38"/>
      <c r="K23" s="38"/>
      <c r="L23" s="39"/>
    </row>
    <row r="24" spans="2:13" ht="18.75" x14ac:dyDescent="0.3">
      <c r="B24" s="210">
        <v>52027</v>
      </c>
      <c r="C24" s="211" t="s">
        <v>239</v>
      </c>
      <c r="D24" s="212" t="s">
        <v>215</v>
      </c>
      <c r="E24" s="65"/>
      <c r="F24" s="38"/>
      <c r="G24" s="38"/>
      <c r="H24" s="38"/>
      <c r="I24" s="38"/>
      <c r="J24" s="38"/>
      <c r="K24" s="38"/>
      <c r="L24" s="39"/>
    </row>
    <row r="25" spans="2:13" ht="18.75" x14ac:dyDescent="0.3">
      <c r="B25" s="210">
        <v>52205</v>
      </c>
      <c r="C25" s="211" t="s">
        <v>240</v>
      </c>
      <c r="D25" s="212" t="s">
        <v>195</v>
      </c>
      <c r="E25" s="65"/>
      <c r="F25" s="38"/>
      <c r="G25" s="38"/>
      <c r="H25" s="38"/>
      <c r="I25" s="38"/>
      <c r="J25" s="38"/>
      <c r="K25" s="38"/>
      <c r="L25" s="39"/>
    </row>
    <row r="26" spans="2:13" ht="18.75" x14ac:dyDescent="0.3">
      <c r="B26" s="210">
        <v>52358</v>
      </c>
      <c r="C26" s="211" t="s">
        <v>241</v>
      </c>
      <c r="D26" s="212" t="s">
        <v>242</v>
      </c>
      <c r="E26" s="65"/>
      <c r="F26" s="38"/>
      <c r="G26" s="38"/>
      <c r="H26" s="38"/>
      <c r="I26" s="38"/>
      <c r="J26" s="38"/>
      <c r="K26" s="38"/>
      <c r="L26" s="39"/>
    </row>
    <row r="27" spans="2:13" ht="18.75" x14ac:dyDescent="0.3">
      <c r="B27" s="210">
        <v>52760</v>
      </c>
      <c r="C27" s="211" t="s">
        <v>243</v>
      </c>
      <c r="D27" s="212" t="s">
        <v>196</v>
      </c>
      <c r="E27" s="65"/>
      <c r="F27" s="38"/>
      <c r="G27" s="38"/>
      <c r="H27" s="38"/>
      <c r="I27" s="38"/>
      <c r="J27" s="38"/>
      <c r="K27" s="38"/>
      <c r="L27" s="39"/>
    </row>
    <row r="28" spans="2:13" ht="18.75" x14ac:dyDescent="0.3">
      <c r="B28" s="210">
        <v>53488</v>
      </c>
      <c r="C28" s="211" t="s">
        <v>244</v>
      </c>
      <c r="D28" s="212" t="s">
        <v>245</v>
      </c>
      <c r="E28" s="65"/>
      <c r="F28" s="38"/>
      <c r="G28" s="38"/>
      <c r="H28" s="38"/>
      <c r="I28" s="38"/>
      <c r="J28" s="38"/>
      <c r="K28" s="38"/>
      <c r="L28" s="39"/>
    </row>
    <row r="29" spans="2:13" ht="18.75" x14ac:dyDescent="0.3">
      <c r="B29" s="210">
        <v>53947</v>
      </c>
      <c r="C29" s="211" t="s">
        <v>197</v>
      </c>
      <c r="D29" s="212" t="s">
        <v>214</v>
      </c>
      <c r="E29" s="65"/>
      <c r="F29" s="38"/>
      <c r="G29" s="38"/>
      <c r="H29" s="38"/>
      <c r="I29" s="38"/>
      <c r="J29" s="38"/>
      <c r="K29" s="38"/>
      <c r="L29" s="39"/>
    </row>
    <row r="30" spans="2:13" ht="18.75" x14ac:dyDescent="0.3">
      <c r="B30" s="210">
        <v>54046</v>
      </c>
      <c r="C30" s="223" t="s">
        <v>238</v>
      </c>
      <c r="D30" s="212" t="s">
        <v>237</v>
      </c>
      <c r="E30" s="65"/>
      <c r="F30" s="38"/>
      <c r="G30" s="38"/>
      <c r="H30" s="38"/>
      <c r="I30" s="38"/>
      <c r="J30" s="38"/>
      <c r="K30" s="38"/>
      <c r="L30" s="39"/>
    </row>
    <row r="31" spans="2:13" ht="18.75" x14ac:dyDescent="0.3">
      <c r="B31" s="210">
        <v>54155</v>
      </c>
      <c r="C31" s="211" t="s">
        <v>198</v>
      </c>
      <c r="D31" s="212" t="s">
        <v>199</v>
      </c>
      <c r="E31" s="65"/>
      <c r="F31" s="37"/>
      <c r="G31" s="37"/>
      <c r="H31" s="37"/>
      <c r="I31" s="37"/>
      <c r="J31" s="37"/>
      <c r="K31" s="37"/>
      <c r="L31" s="41"/>
    </row>
    <row r="32" spans="2:13" ht="18.75" x14ac:dyDescent="0.3">
      <c r="B32" s="210">
        <v>54284</v>
      </c>
      <c r="C32" s="211" t="s">
        <v>246</v>
      </c>
      <c r="D32" s="212" t="s">
        <v>245</v>
      </c>
      <c r="E32" s="65"/>
      <c r="F32" s="37"/>
      <c r="G32" s="37"/>
      <c r="H32" s="37"/>
      <c r="I32" s="37"/>
      <c r="J32" s="37"/>
      <c r="K32" s="37"/>
      <c r="L32" s="41"/>
    </row>
    <row r="33" spans="2:12" ht="18.75" x14ac:dyDescent="0.3">
      <c r="B33" s="210">
        <v>55592</v>
      </c>
      <c r="C33" s="211" t="s">
        <v>247</v>
      </c>
      <c r="D33" s="212" t="s">
        <v>196</v>
      </c>
      <c r="E33" s="65"/>
      <c r="F33" s="38"/>
      <c r="G33" s="38"/>
      <c r="H33" s="38"/>
      <c r="I33" s="38"/>
      <c r="J33" s="38"/>
      <c r="K33" s="38"/>
      <c r="L33" s="39"/>
    </row>
    <row r="34" spans="2:12" ht="18.75" x14ac:dyDescent="0.3">
      <c r="B34" s="210">
        <v>55593</v>
      </c>
      <c r="C34" s="211" t="s">
        <v>248</v>
      </c>
      <c r="D34" s="212" t="s">
        <v>196</v>
      </c>
      <c r="E34" s="65"/>
      <c r="F34" s="37"/>
      <c r="G34" s="37"/>
      <c r="H34" s="37"/>
      <c r="I34" s="37"/>
      <c r="J34" s="37"/>
      <c r="K34" s="37"/>
      <c r="L34" s="41"/>
    </row>
    <row r="35" spans="2:12" ht="18.75" x14ac:dyDescent="0.3">
      <c r="B35" s="210">
        <v>55729</v>
      </c>
      <c r="C35" s="223" t="s">
        <v>271</v>
      </c>
      <c r="D35" s="212" t="s">
        <v>208</v>
      </c>
      <c r="E35" s="65"/>
      <c r="F35" s="38"/>
      <c r="G35" s="38"/>
      <c r="H35" s="38"/>
      <c r="I35" s="38"/>
      <c r="J35" s="38"/>
      <c r="K35" s="38"/>
      <c r="L35" s="39"/>
    </row>
    <row r="36" spans="2:12" ht="18.75" x14ac:dyDescent="0.3">
      <c r="B36" s="210">
        <v>56372</v>
      </c>
      <c r="C36" s="211" t="s">
        <v>249</v>
      </c>
      <c r="D36" s="212" t="s">
        <v>242</v>
      </c>
      <c r="E36" s="65"/>
      <c r="F36" s="38"/>
      <c r="G36" s="38"/>
      <c r="H36" s="38"/>
      <c r="I36" s="38"/>
      <c r="J36" s="38"/>
      <c r="K36" s="38"/>
      <c r="L36" s="39"/>
    </row>
    <row r="37" spans="2:12" ht="18.75" x14ac:dyDescent="0.3">
      <c r="B37" s="210">
        <v>58669</v>
      </c>
      <c r="C37" s="211" t="s">
        <v>206</v>
      </c>
      <c r="D37" s="212" t="s">
        <v>213</v>
      </c>
      <c r="E37" s="65"/>
      <c r="F37" s="38"/>
      <c r="G37" s="38"/>
      <c r="H37" s="38"/>
      <c r="I37" s="38"/>
      <c r="J37" s="38"/>
      <c r="K37" s="38"/>
      <c r="L37" s="39"/>
    </row>
    <row r="38" spans="2:12" ht="18.75" x14ac:dyDescent="0.3">
      <c r="B38" s="210">
        <v>58670</v>
      </c>
      <c r="C38" s="211" t="s">
        <v>205</v>
      </c>
      <c r="D38" s="212" t="s">
        <v>213</v>
      </c>
      <c r="E38" s="65"/>
      <c r="F38" s="38"/>
      <c r="G38" s="38"/>
      <c r="H38" s="38"/>
      <c r="I38" s="38"/>
      <c r="J38" s="38"/>
      <c r="K38" s="38"/>
      <c r="L38" s="39"/>
    </row>
    <row r="39" spans="2:12" ht="18.75" x14ac:dyDescent="0.3">
      <c r="B39" s="210">
        <v>60663</v>
      </c>
      <c r="C39" s="211" t="s">
        <v>250</v>
      </c>
      <c r="D39" s="212" t="s">
        <v>251</v>
      </c>
      <c r="E39" s="65"/>
      <c r="F39" s="37"/>
      <c r="G39" s="37"/>
      <c r="H39" s="37"/>
      <c r="I39" s="37"/>
      <c r="J39" s="37"/>
      <c r="K39" s="37"/>
      <c r="L39" s="41"/>
    </row>
    <row r="40" spans="2:12" ht="18.75" x14ac:dyDescent="0.3">
      <c r="B40" s="210">
        <v>62076</v>
      </c>
      <c r="C40" s="211" t="s">
        <v>204</v>
      </c>
      <c r="D40" s="212" t="s">
        <v>199</v>
      </c>
      <c r="E40" s="65"/>
      <c r="F40" s="38"/>
      <c r="G40" s="38"/>
      <c r="H40" s="38"/>
      <c r="I40" s="38"/>
      <c r="J40" s="38"/>
      <c r="K40" s="38"/>
      <c r="L40" s="39"/>
    </row>
    <row r="41" spans="2:12" ht="18.75" x14ac:dyDescent="0.3">
      <c r="B41" s="210">
        <v>62525</v>
      </c>
      <c r="C41" s="211" t="s">
        <v>207</v>
      </c>
      <c r="D41" s="212" t="s">
        <v>215</v>
      </c>
      <c r="E41" s="65"/>
      <c r="F41" s="38"/>
      <c r="G41" s="38"/>
      <c r="H41" s="38"/>
      <c r="I41" s="38"/>
      <c r="J41" s="38"/>
      <c r="K41" s="38"/>
      <c r="L41" s="39"/>
    </row>
    <row r="42" spans="2:12" ht="18.75" x14ac:dyDescent="0.3">
      <c r="B42" s="210">
        <v>66158</v>
      </c>
      <c r="C42" s="211" t="s">
        <v>252</v>
      </c>
      <c r="D42" s="212" t="s">
        <v>253</v>
      </c>
      <c r="E42" s="65"/>
      <c r="F42" s="37"/>
      <c r="G42" s="37"/>
      <c r="H42" s="37"/>
      <c r="I42" s="37"/>
      <c r="J42" s="37"/>
      <c r="K42" s="37"/>
      <c r="L42" s="41"/>
    </row>
    <row r="43" spans="2:12" ht="18.75" x14ac:dyDescent="0.3">
      <c r="B43" s="210">
        <v>70482</v>
      </c>
      <c r="C43" s="211" t="s">
        <v>254</v>
      </c>
      <c r="D43" s="212" t="s">
        <v>255</v>
      </c>
      <c r="E43" s="65"/>
      <c r="F43" s="37"/>
      <c r="G43" s="37"/>
      <c r="H43" s="37"/>
      <c r="I43" s="37"/>
      <c r="J43" s="37"/>
      <c r="K43" s="37"/>
      <c r="L43" s="41"/>
    </row>
    <row r="44" spans="2:12" ht="18.75" x14ac:dyDescent="0.3">
      <c r="B44" s="210">
        <v>70484</v>
      </c>
      <c r="C44" s="211" t="s">
        <v>256</v>
      </c>
      <c r="D44" s="212" t="s">
        <v>255</v>
      </c>
      <c r="E44" s="65"/>
      <c r="F44" s="37"/>
      <c r="G44" s="37"/>
      <c r="H44" s="37"/>
      <c r="I44" s="37"/>
      <c r="J44" s="37"/>
      <c r="K44" s="37"/>
      <c r="L44" s="41"/>
    </row>
    <row r="45" spans="2:12" ht="18.75" x14ac:dyDescent="0.3">
      <c r="B45" s="210">
        <v>70682</v>
      </c>
      <c r="C45" s="211" t="s">
        <v>257</v>
      </c>
      <c r="D45" s="212" t="s">
        <v>258</v>
      </c>
      <c r="E45" s="65"/>
      <c r="F45" s="37"/>
      <c r="G45" s="37"/>
      <c r="H45" s="37"/>
      <c r="I45" s="37"/>
      <c r="J45" s="37"/>
      <c r="K45" s="37"/>
      <c r="L45" s="41"/>
    </row>
    <row r="46" spans="2:12" ht="18.75" x14ac:dyDescent="0.3">
      <c r="B46" s="210">
        <v>71954</v>
      </c>
      <c r="C46" s="211" t="s">
        <v>259</v>
      </c>
      <c r="D46" s="212" t="s">
        <v>260</v>
      </c>
      <c r="E46" s="65"/>
      <c r="F46" s="37"/>
      <c r="G46" s="37"/>
      <c r="H46" s="37"/>
      <c r="I46" s="37"/>
      <c r="J46" s="37"/>
      <c r="K46" s="37"/>
      <c r="L46" s="41"/>
    </row>
    <row r="47" spans="2:12" ht="18.75" x14ac:dyDescent="0.3">
      <c r="B47" s="210">
        <v>72238</v>
      </c>
      <c r="C47" s="211" t="s">
        <v>261</v>
      </c>
      <c r="D47" s="212" t="s">
        <v>262</v>
      </c>
      <c r="E47" s="65"/>
      <c r="F47" s="37"/>
      <c r="G47" s="37"/>
      <c r="H47" s="37"/>
      <c r="I47" s="37"/>
      <c r="J47" s="37"/>
      <c r="K47" s="37"/>
      <c r="L47" s="41"/>
    </row>
    <row r="48" spans="2:12" ht="18.75" x14ac:dyDescent="0.3">
      <c r="B48" s="210">
        <v>73559</v>
      </c>
      <c r="C48" s="211" t="s">
        <v>263</v>
      </c>
      <c r="D48" s="212" t="s">
        <v>260</v>
      </c>
      <c r="E48" s="65"/>
      <c r="F48" s="37"/>
      <c r="G48" s="37"/>
      <c r="H48" s="37"/>
      <c r="I48" s="37"/>
      <c r="J48" s="37"/>
      <c r="K48" s="37"/>
      <c r="L48" s="41"/>
    </row>
    <row r="49" spans="2:12" ht="18.75" x14ac:dyDescent="0.3">
      <c r="B49" s="210">
        <v>74327</v>
      </c>
      <c r="C49" s="211" t="s">
        <v>264</v>
      </c>
      <c r="D49" s="212" t="s">
        <v>265</v>
      </c>
      <c r="E49" s="65"/>
      <c r="F49" s="37"/>
      <c r="G49" s="37"/>
      <c r="H49" s="37"/>
      <c r="I49" s="37"/>
      <c r="J49" s="37"/>
      <c r="K49" s="37"/>
      <c r="L49" s="41"/>
    </row>
    <row r="50" spans="2:12" ht="18.75" x14ac:dyDescent="0.3">
      <c r="B50" s="210">
        <v>74569</v>
      </c>
      <c r="C50" s="211" t="s">
        <v>266</v>
      </c>
      <c r="D50" s="212" t="s">
        <v>267</v>
      </c>
      <c r="E50" s="65"/>
      <c r="F50" s="37"/>
      <c r="G50" s="37"/>
      <c r="H50" s="37"/>
      <c r="I50" s="37"/>
      <c r="J50" s="37"/>
      <c r="K50" s="37"/>
      <c r="L50" s="41"/>
    </row>
    <row r="51" spans="2:12" ht="18.75" x14ac:dyDescent="0.3">
      <c r="B51" s="210"/>
      <c r="C51" s="211"/>
      <c r="D51" s="212"/>
      <c r="E51" s="65"/>
      <c r="F51" s="37"/>
      <c r="G51" s="37"/>
      <c r="H51" s="37"/>
      <c r="I51" s="37"/>
      <c r="J51" s="37"/>
      <c r="K51" s="37"/>
      <c r="L51" s="41"/>
    </row>
    <row r="52" spans="2:12" ht="18.75" x14ac:dyDescent="0.3">
      <c r="B52" s="210"/>
      <c r="C52" s="211"/>
      <c r="D52" s="212"/>
      <c r="E52" s="65"/>
      <c r="F52" s="37"/>
      <c r="G52" s="37"/>
      <c r="H52" s="37"/>
      <c r="I52" s="37"/>
      <c r="J52" s="37"/>
      <c r="K52" s="37"/>
      <c r="L52" s="41"/>
    </row>
    <row r="53" spans="2:12" ht="18.75" x14ac:dyDescent="0.3">
      <c r="B53" s="210"/>
      <c r="C53" s="211"/>
      <c r="D53" s="212"/>
      <c r="E53" s="65"/>
      <c r="F53" s="37"/>
      <c r="G53" s="37"/>
      <c r="H53" s="37"/>
      <c r="I53" s="37"/>
      <c r="J53" s="37"/>
      <c r="K53" s="37"/>
      <c r="L53" s="41"/>
    </row>
    <row r="54" spans="2:12" ht="18.75" x14ac:dyDescent="0.3">
      <c r="B54" s="210"/>
      <c r="C54" s="211"/>
      <c r="D54" s="212"/>
      <c r="E54" s="65"/>
      <c r="F54" s="37"/>
      <c r="G54" s="37"/>
      <c r="H54" s="37"/>
      <c r="I54" s="37"/>
      <c r="J54" s="37"/>
      <c r="K54" s="37"/>
      <c r="L54" s="41"/>
    </row>
    <row r="55" spans="2:12" ht="18.75" x14ac:dyDescent="0.3">
      <c r="B55" s="210"/>
      <c r="C55" s="211"/>
      <c r="D55" s="212"/>
      <c r="E55" s="65"/>
      <c r="F55" s="37"/>
      <c r="G55" s="37"/>
      <c r="H55" s="37"/>
      <c r="I55" s="37"/>
      <c r="J55" s="37"/>
      <c r="K55" s="37"/>
      <c r="L55" s="41"/>
    </row>
    <row r="56" spans="2:12" ht="18.75" x14ac:dyDescent="0.3">
      <c r="B56" s="210"/>
      <c r="C56" s="211"/>
      <c r="D56" s="212"/>
      <c r="E56" s="65"/>
      <c r="F56" s="37"/>
      <c r="G56" s="37"/>
      <c r="H56" s="37"/>
      <c r="I56" s="37"/>
      <c r="J56" s="37"/>
      <c r="K56" s="37"/>
      <c r="L56" s="41"/>
    </row>
    <row r="57" spans="2:12" ht="18.75" x14ac:dyDescent="0.3">
      <c r="B57" s="210"/>
      <c r="C57" s="211"/>
      <c r="D57" s="212"/>
      <c r="E57" s="65"/>
      <c r="F57" s="37"/>
      <c r="G57" s="37"/>
      <c r="H57" s="37"/>
      <c r="I57" s="37"/>
      <c r="J57" s="37"/>
      <c r="K57" s="37"/>
      <c r="L57" s="41"/>
    </row>
  </sheetData>
  <autoFilter ref="B2:L29" xr:uid="{00000000-0001-0000-0000-000000000000}">
    <sortState xmlns:xlrd2="http://schemas.microsoft.com/office/spreadsheetml/2017/richdata2" ref="B3:L41">
      <sortCondition ref="B2:B29"/>
    </sortState>
  </autoFilter>
  <sortState xmlns:xlrd2="http://schemas.microsoft.com/office/spreadsheetml/2017/richdata2" ref="B3:D43">
    <sortCondition ref="B3:B43"/>
  </sortState>
  <mergeCells count="1">
    <mergeCell ref="B1:L1"/>
  </mergeCells>
  <phoneticPr fontId="0" type="noConversion"/>
  <pageMargins left="0.75" right="0.75" top="1" bottom="1" header="0.5" footer="0.5"/>
  <pageSetup orientation="portrait" r:id="rId1"/>
  <headerFooter alignWithMargins="0">
    <oddHeader>&amp;A</oddHeader>
    <oddFooter>Page &amp;P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>
    <pageSetUpPr autoPageBreaks="0" fitToPage="1"/>
  </sheetPr>
  <dimension ref="A1:BJ116"/>
  <sheetViews>
    <sheetView topLeftCell="A14" zoomScale="70" zoomScaleNormal="70" workbookViewId="0">
      <selection activeCell="J61" sqref="J61"/>
    </sheetView>
  </sheetViews>
  <sheetFormatPr defaultColWidth="9.140625" defaultRowHeight="12.75" x14ac:dyDescent="0.2"/>
  <cols>
    <col min="1" max="1" width="3.5703125" style="70" customWidth="1"/>
    <col min="2" max="2" width="3.7109375" style="104" customWidth="1"/>
    <col min="3" max="3" width="2.140625" style="70" customWidth="1"/>
    <col min="4" max="4" width="81.42578125" style="154" customWidth="1"/>
    <col min="5" max="5" width="7.140625" style="154" customWidth="1"/>
    <col min="6" max="6" width="7.7109375" style="154" customWidth="1"/>
    <col min="7" max="7" width="3.28515625" style="154" customWidth="1"/>
    <col min="8" max="8" width="3.140625" style="187" customWidth="1"/>
    <col min="9" max="9" width="2" style="154" customWidth="1"/>
    <col min="10" max="10" width="70.42578125" style="154" customWidth="1"/>
    <col min="11" max="11" width="9.140625" style="154"/>
    <col min="12" max="12" width="6.28515625" style="154" customWidth="1"/>
    <col min="13" max="13" width="4" style="70" customWidth="1"/>
    <col min="14" max="14" width="47.28515625" style="70" customWidth="1"/>
    <col min="15" max="19" width="9.140625" style="70"/>
    <col min="20" max="27" width="9.140625" style="70" customWidth="1"/>
    <col min="28" max="28" width="10.140625" style="69" customWidth="1"/>
    <col min="29" max="30" width="9.140625" style="69" customWidth="1"/>
    <col min="31" max="31" width="10.42578125" style="69" customWidth="1"/>
    <col min="32" max="32" width="13.28515625" style="69" customWidth="1"/>
    <col min="33" max="33" width="5.85546875" style="69" customWidth="1"/>
    <col min="34" max="34" width="10.140625" style="69" customWidth="1"/>
    <col min="35" max="44" width="9.140625" style="69" customWidth="1"/>
    <col min="45" max="45" width="2.5703125" style="69" customWidth="1"/>
    <col min="46" max="54" width="9.140625" style="69" customWidth="1"/>
    <col min="55" max="62" width="9.140625" style="70" customWidth="1"/>
    <col min="63" max="16384" width="9.140625" style="70"/>
  </cols>
  <sheetData>
    <row r="1" spans="1:62" ht="13.5" hidden="1" thickBot="1" x14ac:dyDescent="0.25">
      <c r="A1" s="28"/>
      <c r="B1" s="66"/>
      <c r="C1" s="28"/>
      <c r="D1" s="54"/>
      <c r="E1" s="54"/>
      <c r="F1" s="54"/>
      <c r="G1" s="54"/>
      <c r="H1" s="67"/>
      <c r="I1" s="54"/>
      <c r="J1" s="54"/>
      <c r="K1" s="54"/>
      <c r="L1" s="54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68"/>
      <c r="AC1" s="68"/>
      <c r="AD1" s="68"/>
    </row>
    <row r="2" spans="1:62" ht="13.5" hidden="1" thickBot="1" x14ac:dyDescent="0.25">
      <c r="A2" s="28"/>
      <c r="B2" s="66"/>
      <c r="C2" s="28"/>
      <c r="D2" s="71"/>
      <c r="E2" s="71"/>
      <c r="F2" s="71"/>
      <c r="G2" s="54"/>
      <c r="H2" s="67"/>
      <c r="I2" s="54"/>
      <c r="J2" s="54"/>
      <c r="K2" s="54"/>
      <c r="L2" s="54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68"/>
      <c r="AC2" s="68"/>
      <c r="AD2" s="68"/>
    </row>
    <row r="3" spans="1:62" ht="13.5" hidden="1" thickBot="1" x14ac:dyDescent="0.25">
      <c r="A3" s="28"/>
      <c r="B3" s="66"/>
      <c r="C3" s="28"/>
      <c r="D3" s="71"/>
      <c r="E3" s="71"/>
      <c r="F3" s="71"/>
      <c r="G3" s="54"/>
      <c r="H3" s="67"/>
      <c r="I3" s="54"/>
      <c r="J3" s="54"/>
      <c r="K3" s="54"/>
      <c r="L3" s="54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68"/>
      <c r="AC3" s="68"/>
      <c r="AD3" s="68"/>
    </row>
    <row r="4" spans="1:62" ht="13.5" hidden="1" thickBot="1" x14ac:dyDescent="0.25">
      <c r="A4" s="28"/>
      <c r="B4" s="66"/>
      <c r="C4" s="28"/>
      <c r="D4" s="71"/>
      <c r="E4" s="71"/>
      <c r="F4" s="71"/>
      <c r="G4" s="54"/>
      <c r="H4" s="67"/>
      <c r="I4" s="54"/>
      <c r="J4" s="54"/>
      <c r="K4" s="54"/>
      <c r="L4" s="54"/>
      <c r="M4" s="28"/>
      <c r="N4" s="28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68"/>
      <c r="AC4" s="68"/>
      <c r="AD4" s="68"/>
    </row>
    <row r="5" spans="1:62" ht="13.5" hidden="1" thickBot="1" x14ac:dyDescent="0.25">
      <c r="A5" s="28"/>
      <c r="B5" s="66"/>
      <c r="C5" s="28"/>
      <c r="D5" s="71"/>
      <c r="E5" s="71"/>
      <c r="F5" s="71"/>
      <c r="G5" s="54"/>
      <c r="H5" s="67"/>
      <c r="I5" s="54"/>
      <c r="J5" s="54"/>
      <c r="K5" s="54"/>
      <c r="L5" s="54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  <c r="AB5" s="68"/>
      <c r="AC5" s="68"/>
      <c r="AD5" s="68"/>
    </row>
    <row r="6" spans="1:62" ht="13.5" hidden="1" thickBot="1" x14ac:dyDescent="0.25">
      <c r="A6" s="28"/>
      <c r="B6" s="66"/>
      <c r="C6" s="28"/>
      <c r="D6" s="71"/>
      <c r="E6" s="71"/>
      <c r="F6" s="71"/>
      <c r="G6" s="54"/>
      <c r="H6" s="67"/>
      <c r="I6" s="54"/>
      <c r="J6" s="54"/>
      <c r="K6" s="54"/>
      <c r="L6" s="54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68"/>
      <c r="AC6" s="68"/>
      <c r="AD6" s="68"/>
    </row>
    <row r="7" spans="1:62" ht="13.5" hidden="1" thickBot="1" x14ac:dyDescent="0.25">
      <c r="A7" s="28"/>
      <c r="B7" s="66"/>
      <c r="C7" s="28"/>
      <c r="D7" s="71"/>
      <c r="E7" s="71"/>
      <c r="F7" s="71"/>
      <c r="G7" s="54"/>
      <c r="H7" s="67"/>
      <c r="I7" s="54"/>
      <c r="J7" s="54"/>
      <c r="K7" s="54"/>
      <c r="L7" s="54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68"/>
      <c r="AC7" s="68"/>
      <c r="AD7" s="68"/>
      <c r="AJ7" s="72" t="s">
        <v>68</v>
      </c>
      <c r="AK7" s="72"/>
      <c r="AL7" s="72"/>
      <c r="AM7" s="72"/>
      <c r="AN7" s="72"/>
      <c r="AO7" s="72"/>
      <c r="AP7" s="72"/>
      <c r="AQ7" s="72"/>
      <c r="AR7" s="72"/>
      <c r="AS7" s="72"/>
      <c r="AT7" s="72"/>
      <c r="AU7" s="72"/>
    </row>
    <row r="8" spans="1:62" ht="13.5" hidden="1" thickBot="1" x14ac:dyDescent="0.25">
      <c r="A8" s="28"/>
      <c r="B8" s="66"/>
      <c r="C8" s="28"/>
      <c r="D8" s="71"/>
      <c r="E8" s="71"/>
      <c r="F8" s="71"/>
      <c r="G8" s="54"/>
      <c r="H8" s="67"/>
      <c r="I8" s="54"/>
      <c r="J8" s="54"/>
      <c r="K8" s="54"/>
      <c r="L8" s="54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68"/>
      <c r="AC8" s="68"/>
      <c r="AD8" s="68"/>
      <c r="AJ8" s="72">
        <v>3</v>
      </c>
      <c r="AK8" s="72">
        <v>2</v>
      </c>
      <c r="AL8" s="72">
        <v>3</v>
      </c>
      <c r="AM8" s="72">
        <v>4</v>
      </c>
      <c r="AN8" s="72">
        <v>5</v>
      </c>
      <c r="AO8" s="72">
        <v>6</v>
      </c>
      <c r="AP8" s="72">
        <v>7</v>
      </c>
      <c r="AQ8" s="72">
        <v>8</v>
      </c>
      <c r="AR8" s="72"/>
      <c r="AS8" s="72"/>
      <c r="AT8" s="72">
        <v>9</v>
      </c>
      <c r="AU8" s="72"/>
    </row>
    <row r="9" spans="1:62" ht="13.5" hidden="1" thickBot="1" x14ac:dyDescent="0.25">
      <c r="A9" s="28"/>
      <c r="B9" s="66"/>
      <c r="C9" s="28"/>
      <c r="D9" s="71"/>
      <c r="E9" s="71"/>
      <c r="F9" s="71"/>
      <c r="G9" s="54"/>
      <c r="H9" s="67"/>
      <c r="I9" s="54"/>
      <c r="J9" s="54"/>
      <c r="K9" s="54"/>
      <c r="L9" s="54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68"/>
      <c r="AC9" s="68"/>
      <c r="AD9" s="68"/>
      <c r="AJ9" s="72">
        <v>13.1</v>
      </c>
      <c r="AK9" s="72">
        <v>10</v>
      </c>
      <c r="AL9" s="72">
        <f>AK9+6</f>
        <v>16</v>
      </c>
      <c r="AM9" s="72">
        <f t="shared" ref="AM9:AU9" si="0">AL9+6</f>
        <v>22</v>
      </c>
      <c r="AN9" s="72">
        <f t="shared" si="0"/>
        <v>28</v>
      </c>
      <c r="AO9" s="72">
        <f t="shared" si="0"/>
        <v>34</v>
      </c>
      <c r="AP9" s="72">
        <f t="shared" si="0"/>
        <v>40</v>
      </c>
      <c r="AQ9" s="72">
        <f t="shared" si="0"/>
        <v>46</v>
      </c>
      <c r="AR9" s="72"/>
      <c r="AS9" s="72"/>
      <c r="AT9" s="72">
        <f>AQ9+6</f>
        <v>52</v>
      </c>
      <c r="AU9" s="72">
        <f t="shared" si="0"/>
        <v>58</v>
      </c>
    </row>
    <row r="10" spans="1:62" ht="13.5" hidden="1" thickBot="1" x14ac:dyDescent="0.25">
      <c r="A10" s="28"/>
      <c r="B10" s="66"/>
      <c r="C10" s="28"/>
      <c r="D10" s="71"/>
      <c r="E10" s="71"/>
      <c r="F10" s="71"/>
      <c r="G10" s="54"/>
      <c r="H10" s="67"/>
      <c r="I10" s="54"/>
      <c r="J10" s="54"/>
      <c r="K10" s="54"/>
      <c r="L10" s="54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68"/>
      <c r="AC10" s="68"/>
      <c r="AD10" s="68"/>
      <c r="AJ10" s="72">
        <v>13.2</v>
      </c>
      <c r="AK10" s="72">
        <v>1</v>
      </c>
      <c r="AL10" s="72">
        <v>2</v>
      </c>
      <c r="AM10" s="72">
        <v>3</v>
      </c>
      <c r="AN10" s="72">
        <v>4</v>
      </c>
      <c r="AO10" s="72">
        <v>5</v>
      </c>
      <c r="AP10" s="72">
        <v>6</v>
      </c>
      <c r="AQ10" s="72">
        <v>7</v>
      </c>
      <c r="AR10" s="72"/>
      <c r="AS10" s="72"/>
      <c r="AT10" s="72">
        <v>8</v>
      </c>
      <c r="AU10" s="72">
        <v>9</v>
      </c>
    </row>
    <row r="11" spans="1:62" ht="13.5" hidden="1" thickBot="1" x14ac:dyDescent="0.25">
      <c r="A11" s="28"/>
      <c r="B11" s="66"/>
      <c r="C11" s="28"/>
      <c r="D11" s="71"/>
      <c r="E11" s="71"/>
      <c r="F11" s="71"/>
      <c r="G11" s="54"/>
      <c r="H11" s="67"/>
      <c r="I11" s="54"/>
      <c r="J11" s="54"/>
      <c r="K11" s="54"/>
      <c r="L11" s="54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68"/>
      <c r="AC11" s="68"/>
      <c r="AD11" s="68"/>
    </row>
    <row r="12" spans="1:62" ht="13.5" hidden="1" thickBot="1" x14ac:dyDescent="0.25">
      <c r="A12" s="28"/>
      <c r="B12" s="66"/>
      <c r="C12" s="28"/>
      <c r="D12" s="71"/>
      <c r="E12" s="71"/>
      <c r="F12" s="71"/>
      <c r="G12" s="54"/>
      <c r="H12" s="67"/>
      <c r="I12" s="54"/>
      <c r="J12" s="54"/>
      <c r="K12" s="54"/>
      <c r="L12" s="54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68"/>
      <c r="AC12" s="68"/>
      <c r="AD12" s="68"/>
    </row>
    <row r="13" spans="1:62" ht="13.5" hidden="1" thickBot="1" x14ac:dyDescent="0.25">
      <c r="A13" s="28"/>
      <c r="B13" s="66"/>
      <c r="C13" s="28"/>
      <c r="D13" s="71"/>
      <c r="E13" s="71"/>
      <c r="F13" s="71"/>
      <c r="G13" s="54"/>
      <c r="H13" s="67"/>
      <c r="I13" s="54"/>
      <c r="J13" s="54"/>
      <c r="K13" s="54"/>
      <c r="L13" s="54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68"/>
      <c r="AC13" s="68"/>
      <c r="AD13" s="68"/>
    </row>
    <row r="14" spans="1:62" ht="24.75" customHeight="1" thickBot="1" x14ac:dyDescent="0.3">
      <c r="A14" s="73"/>
      <c r="B14" s="74"/>
      <c r="C14" s="75"/>
      <c r="D14" s="76" t="s">
        <v>131</v>
      </c>
      <c r="E14" s="71"/>
      <c r="F14" s="71"/>
      <c r="G14" s="71"/>
      <c r="H14" s="77"/>
      <c r="I14" s="71"/>
      <c r="J14" s="76" t="s">
        <v>132</v>
      </c>
      <c r="K14" s="71"/>
      <c r="L14" s="71"/>
      <c r="M14" s="7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68"/>
      <c r="AD14" s="68" t="s">
        <v>106</v>
      </c>
      <c r="AF14" s="79" t="s">
        <v>61</v>
      </c>
      <c r="AG14" s="69" t="s">
        <v>62</v>
      </c>
      <c r="AH14" s="69" t="s">
        <v>63</v>
      </c>
      <c r="AI14" s="80" t="s">
        <v>64</v>
      </c>
      <c r="AJ14" s="79">
        <v>0</v>
      </c>
      <c r="AK14" s="79">
        <v>1</v>
      </c>
      <c r="AL14" s="79">
        <v>2</v>
      </c>
      <c r="AM14" s="79">
        <v>3</v>
      </c>
      <c r="AN14" s="79">
        <v>4</v>
      </c>
      <c r="AO14" s="79">
        <v>5</v>
      </c>
      <c r="AP14" s="79">
        <v>6</v>
      </c>
      <c r="AQ14" s="79">
        <v>7</v>
      </c>
      <c r="AR14" s="79">
        <v>8</v>
      </c>
      <c r="AS14" s="79"/>
      <c r="AT14" s="79">
        <v>1</v>
      </c>
      <c r="AU14" s="79">
        <v>2</v>
      </c>
      <c r="AV14" s="79">
        <v>3</v>
      </c>
      <c r="AW14" s="79">
        <v>4</v>
      </c>
      <c r="AX14" s="79">
        <v>5</v>
      </c>
      <c r="AY14" s="79">
        <v>6</v>
      </c>
      <c r="AZ14" s="79">
        <v>7</v>
      </c>
      <c r="BA14" s="79">
        <v>8</v>
      </c>
      <c r="BC14" s="69"/>
      <c r="BD14" s="69"/>
      <c r="BE14" s="69"/>
      <c r="BF14" s="69"/>
      <c r="BG14" s="69"/>
      <c r="BH14" s="69"/>
      <c r="BI14" s="69"/>
      <c r="BJ14" s="69"/>
    </row>
    <row r="15" spans="1:62" ht="24.75" customHeight="1" thickBot="1" x14ac:dyDescent="0.3">
      <c r="A15" s="73"/>
      <c r="B15" s="81"/>
      <c r="C15" s="75"/>
      <c r="D15" s="82" t="s">
        <v>133</v>
      </c>
      <c r="E15" s="83"/>
      <c r="F15" s="84"/>
      <c r="G15" s="85"/>
      <c r="H15" s="86" t="s">
        <v>89</v>
      </c>
      <c r="I15" s="87">
        <f>BC31</f>
        <v>0</v>
      </c>
      <c r="J15" s="88" t="s">
        <v>134</v>
      </c>
      <c r="K15" s="89"/>
      <c r="L15" s="90"/>
      <c r="M15" s="91">
        <v>31</v>
      </c>
      <c r="N15" s="75"/>
      <c r="O15" s="28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68"/>
      <c r="AC15" s="92" t="s">
        <v>112</v>
      </c>
      <c r="AD15" s="93">
        <v>15</v>
      </c>
      <c r="AE15" s="79" t="s">
        <v>135</v>
      </c>
      <c r="AF15" s="93" t="s">
        <v>80</v>
      </c>
      <c r="AG15" s="93">
        <v>22</v>
      </c>
      <c r="AH15" s="93"/>
      <c r="AI15" s="94">
        <f>AK15*AG15</f>
        <v>0</v>
      </c>
      <c r="AJ15" s="95" t="b">
        <v>0</v>
      </c>
      <c r="AK15" s="96" t="b">
        <v>0</v>
      </c>
      <c r="AL15" s="95"/>
      <c r="AM15" s="95"/>
      <c r="AN15" s="95"/>
      <c r="AO15" s="95"/>
      <c r="AP15" s="95"/>
      <c r="AQ15" s="95"/>
      <c r="AR15" s="95"/>
      <c r="AS15" s="79"/>
      <c r="AT15" s="97"/>
      <c r="AU15" s="97"/>
      <c r="AV15" s="97"/>
      <c r="AW15" s="97"/>
      <c r="AX15" s="97"/>
      <c r="AY15" s="97"/>
      <c r="AZ15" s="97"/>
      <c r="BA15" s="97"/>
      <c r="BB15" s="95"/>
      <c r="BC15" s="79">
        <f>AJ15+AK15</f>
        <v>0</v>
      </c>
      <c r="BD15" s="79" t="s">
        <v>80</v>
      </c>
      <c r="BE15" s="69"/>
      <c r="BF15" s="69"/>
      <c r="BG15" s="69"/>
      <c r="BH15" s="69"/>
      <c r="BI15" s="69"/>
      <c r="BJ15" s="69"/>
    </row>
    <row r="16" spans="1:62" ht="24.75" customHeight="1" thickBot="1" x14ac:dyDescent="0.3">
      <c r="A16" s="73"/>
      <c r="B16" s="86" t="s">
        <v>80</v>
      </c>
      <c r="C16" s="98">
        <f>BC15</f>
        <v>0</v>
      </c>
      <c r="D16" s="99" t="s">
        <v>136</v>
      </c>
      <c r="E16" s="100"/>
      <c r="F16" s="101"/>
      <c r="G16" s="85"/>
      <c r="H16" s="102"/>
      <c r="I16" s="103"/>
      <c r="J16" s="76" t="s">
        <v>137</v>
      </c>
      <c r="K16" s="71"/>
      <c r="L16" s="71"/>
      <c r="M16" s="104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68"/>
      <c r="AC16" s="105"/>
      <c r="AD16" s="79">
        <v>16</v>
      </c>
      <c r="AE16" s="79" t="s">
        <v>135</v>
      </c>
      <c r="AF16" s="79" t="s">
        <v>82</v>
      </c>
      <c r="AG16" s="79">
        <v>14</v>
      </c>
      <c r="AH16" s="79"/>
      <c r="AI16" s="106">
        <f t="shared" ref="AI16:AI20" si="1">AK16*AG16</f>
        <v>0</v>
      </c>
      <c r="AJ16" s="95" t="b">
        <v>0</v>
      </c>
      <c r="AK16" s="96" t="b">
        <v>0</v>
      </c>
      <c r="AL16" s="95"/>
      <c r="AM16" s="97"/>
      <c r="AN16" s="95"/>
      <c r="AO16" s="97"/>
      <c r="AP16" s="97"/>
      <c r="AQ16" s="97"/>
      <c r="AR16" s="97"/>
      <c r="AS16" s="79"/>
      <c r="AT16" s="97"/>
      <c r="AU16" s="97"/>
      <c r="AV16" s="97"/>
      <c r="AW16" s="97"/>
      <c r="AX16" s="97"/>
      <c r="AY16" s="97"/>
      <c r="AZ16" s="97"/>
      <c r="BA16" s="97"/>
      <c r="BB16" s="95"/>
      <c r="BC16" s="79">
        <f>AJ16+AK16</f>
        <v>0</v>
      </c>
      <c r="BD16" s="79" t="s">
        <v>82</v>
      </c>
      <c r="BE16" s="69"/>
      <c r="BF16" s="69"/>
      <c r="BG16" s="69"/>
      <c r="BH16" s="69"/>
      <c r="BI16" s="69"/>
      <c r="BJ16" s="69"/>
    </row>
    <row r="17" spans="1:62" ht="24.75" customHeight="1" thickBot="1" x14ac:dyDescent="0.35">
      <c r="A17" s="73"/>
      <c r="B17" s="74" t="s">
        <v>82</v>
      </c>
      <c r="C17" s="98">
        <f>BC16</f>
        <v>0</v>
      </c>
      <c r="D17" s="99" t="s">
        <v>138</v>
      </c>
      <c r="E17" s="100"/>
      <c r="F17" s="101"/>
      <c r="G17" s="85"/>
      <c r="H17" s="86" t="s">
        <v>92</v>
      </c>
      <c r="I17" s="87">
        <f>BC32</f>
        <v>0</v>
      </c>
      <c r="J17" s="107" t="s">
        <v>139</v>
      </c>
      <c r="K17" s="89"/>
      <c r="L17" s="90"/>
      <c r="M17" s="91">
        <v>32</v>
      </c>
      <c r="N17" s="28" t="s">
        <v>107</v>
      </c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68"/>
      <c r="AC17" s="108"/>
      <c r="AD17" s="109">
        <v>17</v>
      </c>
      <c r="AE17" s="79" t="s">
        <v>135</v>
      </c>
      <c r="AF17" s="109" t="s">
        <v>84</v>
      </c>
      <c r="AG17" s="109">
        <v>10</v>
      </c>
      <c r="AH17" s="109"/>
      <c r="AI17" s="110">
        <f t="shared" si="1"/>
        <v>0</v>
      </c>
      <c r="AJ17" s="95" t="b">
        <v>0</v>
      </c>
      <c r="AK17" s="96" t="b">
        <v>0</v>
      </c>
      <c r="AL17" s="95"/>
      <c r="AM17" s="97"/>
      <c r="AN17" s="95"/>
      <c r="AO17" s="97"/>
      <c r="AP17" s="97"/>
      <c r="AQ17" s="97"/>
      <c r="AR17" s="97"/>
      <c r="AS17" s="79"/>
      <c r="AT17" s="97"/>
      <c r="AU17" s="97"/>
      <c r="AV17" s="97"/>
      <c r="AW17" s="97"/>
      <c r="AX17" s="97"/>
      <c r="AY17" s="97"/>
      <c r="AZ17" s="97"/>
      <c r="BA17" s="97"/>
      <c r="BB17" s="95"/>
      <c r="BC17" s="79">
        <f t="shared" ref="BC17:BC27" si="2">AJ17+AK17</f>
        <v>0</v>
      </c>
      <c r="BD17" s="79" t="s">
        <v>84</v>
      </c>
      <c r="BE17" s="69"/>
      <c r="BF17" s="69"/>
      <c r="BG17" s="69"/>
      <c r="BH17" s="69"/>
      <c r="BI17" s="69"/>
      <c r="BJ17" s="69"/>
    </row>
    <row r="18" spans="1:62" ht="24.75" customHeight="1" thickBot="1" x14ac:dyDescent="0.3">
      <c r="A18" s="73"/>
      <c r="B18" s="74" t="s">
        <v>84</v>
      </c>
      <c r="C18" s="98">
        <f>BC17</f>
        <v>0</v>
      </c>
      <c r="D18" s="111" t="s">
        <v>140</v>
      </c>
      <c r="E18" s="112"/>
      <c r="F18" s="113"/>
      <c r="G18" s="85"/>
      <c r="H18" s="77"/>
      <c r="I18" s="71"/>
      <c r="J18" s="76" t="s">
        <v>141</v>
      </c>
      <c r="K18" s="71"/>
      <c r="L18" s="71"/>
      <c r="M18" s="104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68"/>
      <c r="AC18" s="92" t="s">
        <v>113</v>
      </c>
      <c r="AD18" s="93">
        <v>18</v>
      </c>
      <c r="AE18" s="79" t="s">
        <v>135</v>
      </c>
      <c r="AF18" s="93" t="s">
        <v>86</v>
      </c>
      <c r="AG18" s="93">
        <v>22</v>
      </c>
      <c r="AH18" s="93"/>
      <c r="AI18" s="94">
        <f t="shared" si="1"/>
        <v>0</v>
      </c>
      <c r="AJ18" s="95" t="b">
        <v>0</v>
      </c>
      <c r="AK18" s="96" t="b">
        <v>0</v>
      </c>
      <c r="AL18" s="95"/>
      <c r="AM18" s="97"/>
      <c r="AN18" s="95"/>
      <c r="AO18" s="97"/>
      <c r="AP18" s="97"/>
      <c r="AQ18" s="97"/>
      <c r="AR18" s="97"/>
      <c r="AS18" s="79"/>
      <c r="AT18" s="97"/>
      <c r="AU18" s="97"/>
      <c r="AV18" s="97"/>
      <c r="AW18" s="97"/>
      <c r="AX18" s="97"/>
      <c r="AY18" s="97"/>
      <c r="AZ18" s="97"/>
      <c r="BA18" s="97"/>
      <c r="BB18" s="95"/>
      <c r="BC18" s="79">
        <f t="shared" si="2"/>
        <v>0</v>
      </c>
      <c r="BD18" s="79" t="s">
        <v>86</v>
      </c>
      <c r="BE18" s="69"/>
      <c r="BF18" s="69"/>
      <c r="BG18" s="69"/>
      <c r="BH18" s="69"/>
      <c r="BI18" s="69"/>
      <c r="BJ18" s="69"/>
    </row>
    <row r="19" spans="1:62" ht="24.75" customHeight="1" thickBot="1" x14ac:dyDescent="0.3">
      <c r="A19" s="73"/>
      <c r="B19" s="81"/>
      <c r="C19" s="75"/>
      <c r="D19" s="76" t="s">
        <v>142</v>
      </c>
      <c r="E19" s="100"/>
      <c r="F19" s="100"/>
      <c r="G19" s="85"/>
      <c r="H19" s="86" t="s">
        <v>95</v>
      </c>
      <c r="I19" s="87">
        <f>BC33</f>
        <v>0</v>
      </c>
      <c r="J19" s="88" t="s">
        <v>143</v>
      </c>
      <c r="K19" s="89"/>
      <c r="L19" s="90"/>
      <c r="M19" s="91">
        <v>33</v>
      </c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68"/>
      <c r="AC19" s="108"/>
      <c r="AD19" s="109">
        <v>19</v>
      </c>
      <c r="AE19" s="79" t="s">
        <v>135</v>
      </c>
      <c r="AF19" s="109" t="s">
        <v>88</v>
      </c>
      <c r="AG19" s="109">
        <v>18</v>
      </c>
      <c r="AH19" s="109"/>
      <c r="AI19" s="110">
        <f t="shared" si="1"/>
        <v>0</v>
      </c>
      <c r="AJ19" s="95" t="b">
        <v>0</v>
      </c>
      <c r="AK19" s="96" t="b">
        <v>0</v>
      </c>
      <c r="AL19" s="95"/>
      <c r="AM19" s="97"/>
      <c r="AN19" s="95"/>
      <c r="AO19" s="97"/>
      <c r="AP19" s="97"/>
      <c r="AQ19" s="97"/>
      <c r="AR19" s="97"/>
      <c r="AS19" s="79"/>
      <c r="AT19" s="97"/>
      <c r="AU19" s="97"/>
      <c r="AV19" s="97"/>
      <c r="AW19" s="97"/>
      <c r="AX19" s="97"/>
      <c r="AY19" s="97"/>
      <c r="AZ19" s="97"/>
      <c r="BA19" s="97"/>
      <c r="BB19" s="95"/>
      <c r="BC19" s="79">
        <f t="shared" si="2"/>
        <v>0</v>
      </c>
      <c r="BD19" s="79" t="s">
        <v>88</v>
      </c>
      <c r="BE19" s="69"/>
      <c r="BF19" s="69"/>
      <c r="BG19" s="69"/>
      <c r="BH19" s="69"/>
      <c r="BI19" s="69"/>
      <c r="BJ19" s="69"/>
    </row>
    <row r="20" spans="1:62" ht="24.75" customHeight="1" thickBot="1" x14ac:dyDescent="0.3">
      <c r="A20" s="73"/>
      <c r="B20" s="86" t="s">
        <v>86</v>
      </c>
      <c r="C20" s="98">
        <f>BC18</f>
        <v>0</v>
      </c>
      <c r="D20" s="114" t="s">
        <v>144</v>
      </c>
      <c r="E20" s="83"/>
      <c r="F20" s="84"/>
      <c r="G20" s="85"/>
      <c r="H20" s="77"/>
      <c r="I20" s="71"/>
      <c r="J20" s="76" t="s">
        <v>145</v>
      </c>
      <c r="K20" s="71"/>
      <c r="L20" s="71"/>
      <c r="M20" s="91"/>
      <c r="N20" s="29" t="s">
        <v>26</v>
      </c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68"/>
      <c r="AC20" s="92" t="s">
        <v>114</v>
      </c>
      <c r="AD20" s="93">
        <v>20</v>
      </c>
      <c r="AE20" s="79" t="s">
        <v>135</v>
      </c>
      <c r="AF20" s="93" t="s">
        <v>90</v>
      </c>
      <c r="AG20" s="93">
        <v>18</v>
      </c>
      <c r="AH20" s="93"/>
      <c r="AI20" s="94">
        <f t="shared" si="1"/>
        <v>0</v>
      </c>
      <c r="AJ20" s="95" t="b">
        <v>0</v>
      </c>
      <c r="AK20" s="96" t="b">
        <v>0</v>
      </c>
      <c r="AL20" s="95"/>
      <c r="AM20" s="97"/>
      <c r="AN20" s="95"/>
      <c r="AO20" s="97"/>
      <c r="AP20" s="97"/>
      <c r="AQ20" s="97"/>
      <c r="AR20" s="97"/>
      <c r="AS20" s="79"/>
      <c r="AT20" s="97"/>
      <c r="AU20" s="97"/>
      <c r="AV20" s="97"/>
      <c r="AW20" s="97"/>
      <c r="AX20" s="97"/>
      <c r="AY20" s="97"/>
      <c r="AZ20" s="97"/>
      <c r="BA20" s="97"/>
      <c r="BB20" s="95"/>
      <c r="BC20" s="79">
        <f t="shared" si="2"/>
        <v>0</v>
      </c>
      <c r="BD20" s="79" t="s">
        <v>90</v>
      </c>
      <c r="BE20" s="69"/>
      <c r="BF20" s="69"/>
      <c r="BG20" s="69"/>
      <c r="BH20" s="69"/>
      <c r="BI20" s="69"/>
      <c r="BJ20" s="69"/>
    </row>
    <row r="21" spans="1:62" ht="24.75" customHeight="1" thickBot="1" x14ac:dyDescent="0.3">
      <c r="A21" s="73"/>
      <c r="B21" s="74" t="s">
        <v>88</v>
      </c>
      <c r="C21" s="98">
        <f>BC19</f>
        <v>0</v>
      </c>
      <c r="D21" s="115" t="s">
        <v>146</v>
      </c>
      <c r="E21" s="112"/>
      <c r="F21" s="113"/>
      <c r="G21" s="85"/>
      <c r="H21" s="116" t="s">
        <v>97</v>
      </c>
      <c r="I21" s="87">
        <f>BC34</f>
        <v>0</v>
      </c>
      <c r="J21" s="88" t="s">
        <v>147</v>
      </c>
      <c r="K21" s="89"/>
      <c r="L21" s="90"/>
      <c r="M21" s="91">
        <v>34</v>
      </c>
      <c r="N21" s="28"/>
      <c r="O21" s="28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68"/>
      <c r="AC21" s="108"/>
      <c r="AD21" s="109">
        <v>21</v>
      </c>
      <c r="AE21" s="79" t="s">
        <v>135</v>
      </c>
      <c r="AF21" s="109" t="s">
        <v>91</v>
      </c>
      <c r="AG21" s="109">
        <v>4</v>
      </c>
      <c r="AH21" s="109"/>
      <c r="AI21" s="110">
        <f>AK21*AG21*AK20</f>
        <v>0</v>
      </c>
      <c r="AJ21" s="95" t="b">
        <v>0</v>
      </c>
      <c r="AK21" s="96" t="b">
        <v>0</v>
      </c>
      <c r="AL21" s="95"/>
      <c r="AM21" s="97"/>
      <c r="AN21" s="95"/>
      <c r="AO21" s="97"/>
      <c r="AP21" s="97"/>
      <c r="AQ21" s="97"/>
      <c r="AR21" s="97"/>
      <c r="AS21" s="79"/>
      <c r="AT21" s="97"/>
      <c r="AU21" s="97"/>
      <c r="AV21" s="97"/>
      <c r="AW21" s="97"/>
      <c r="AX21" s="97"/>
      <c r="AY21" s="97"/>
      <c r="AZ21" s="97"/>
      <c r="BA21" s="97"/>
      <c r="BB21" s="95"/>
      <c r="BC21" s="79">
        <f t="shared" si="2"/>
        <v>0</v>
      </c>
      <c r="BD21" s="79" t="s">
        <v>91</v>
      </c>
      <c r="BE21" s="69"/>
      <c r="BF21" s="69"/>
      <c r="BG21" s="69"/>
      <c r="BH21" s="69"/>
      <c r="BI21" s="69"/>
      <c r="BJ21" s="69"/>
    </row>
    <row r="22" spans="1:62" ht="24.75" customHeight="1" thickBot="1" x14ac:dyDescent="0.3">
      <c r="A22" s="73"/>
      <c r="B22" s="81"/>
      <c r="C22" s="75"/>
      <c r="D22" s="76" t="s">
        <v>148</v>
      </c>
      <c r="E22" s="100"/>
      <c r="F22" s="100"/>
      <c r="G22" s="85"/>
      <c r="H22" s="77"/>
      <c r="I22" s="71"/>
      <c r="J22" s="76" t="s">
        <v>149</v>
      </c>
      <c r="K22" s="71"/>
      <c r="L22" s="71"/>
      <c r="M22" s="117"/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68"/>
      <c r="AC22" s="92" t="s">
        <v>115</v>
      </c>
      <c r="AD22" s="93">
        <v>22</v>
      </c>
      <c r="AE22" s="79" t="s">
        <v>135</v>
      </c>
      <c r="AF22" s="93" t="s">
        <v>93</v>
      </c>
      <c r="AG22" s="93"/>
      <c r="AH22" s="93" t="s">
        <v>150</v>
      </c>
      <c r="AI22" s="118"/>
      <c r="AJ22" s="95" t="b">
        <v>0</v>
      </c>
      <c r="AK22" s="96" t="b">
        <v>0</v>
      </c>
      <c r="AL22" s="95"/>
      <c r="AM22" s="97"/>
      <c r="AN22" s="95"/>
      <c r="AO22" s="97"/>
      <c r="AP22" s="97"/>
      <c r="AQ22" s="97"/>
      <c r="AR22" s="97"/>
      <c r="AS22" s="79"/>
      <c r="AT22" s="97"/>
      <c r="AU22" s="97"/>
      <c r="AV22" s="97"/>
      <c r="AW22" s="97"/>
      <c r="AX22" s="97"/>
      <c r="AY22" s="97"/>
      <c r="AZ22" s="97"/>
      <c r="BA22" s="97"/>
      <c r="BB22" s="95"/>
      <c r="BC22" s="79">
        <f>AJ22+AK22+AL22</f>
        <v>0</v>
      </c>
      <c r="BD22" s="79" t="s">
        <v>93</v>
      </c>
      <c r="BE22" s="69"/>
      <c r="BF22" s="69"/>
      <c r="BG22" s="69"/>
      <c r="BH22" s="69"/>
      <c r="BI22" s="69"/>
      <c r="BJ22" s="69"/>
    </row>
    <row r="23" spans="1:62" ht="24.75" customHeight="1" thickBot="1" x14ac:dyDescent="0.3">
      <c r="A23" s="73"/>
      <c r="B23" s="86" t="s">
        <v>90</v>
      </c>
      <c r="C23" s="98">
        <f>BC20</f>
        <v>0</v>
      </c>
      <c r="D23" s="114" t="s">
        <v>151</v>
      </c>
      <c r="E23" s="83"/>
      <c r="F23" s="84"/>
      <c r="G23" s="85"/>
      <c r="H23" s="86" t="s">
        <v>100</v>
      </c>
      <c r="I23" s="87">
        <f>BC35</f>
        <v>0</v>
      </c>
      <c r="J23" s="88" t="s">
        <v>152</v>
      </c>
      <c r="K23" s="89"/>
      <c r="L23" s="90"/>
      <c r="M23" s="91">
        <v>35</v>
      </c>
      <c r="N23" s="29" t="s">
        <v>28</v>
      </c>
      <c r="O23" s="28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  <c r="AA23" s="28"/>
      <c r="AB23" s="68"/>
      <c r="AC23" s="108"/>
      <c r="AD23" s="109">
        <v>23</v>
      </c>
      <c r="AE23" s="79" t="s">
        <v>135</v>
      </c>
      <c r="AF23" s="109" t="s">
        <v>94</v>
      </c>
      <c r="AG23" s="109">
        <v>20</v>
      </c>
      <c r="AH23" s="109"/>
      <c r="AI23" s="119">
        <f>AK23*AK22*AG23</f>
        <v>0</v>
      </c>
      <c r="AJ23" s="95" t="b">
        <v>0</v>
      </c>
      <c r="AK23" s="96" t="b">
        <v>0</v>
      </c>
      <c r="AL23" s="95"/>
      <c r="AM23" s="97"/>
      <c r="AN23" s="95"/>
      <c r="AO23" s="97"/>
      <c r="AP23" s="97"/>
      <c r="AQ23" s="97"/>
      <c r="AR23" s="97"/>
      <c r="AS23" s="79"/>
      <c r="AT23" s="97"/>
      <c r="AU23" s="97"/>
      <c r="AV23" s="97"/>
      <c r="AW23" s="97"/>
      <c r="AX23" s="97"/>
      <c r="AY23" s="97"/>
      <c r="AZ23" s="97"/>
      <c r="BA23" s="97"/>
      <c r="BB23" s="95"/>
      <c r="BC23" s="79">
        <f t="shared" si="2"/>
        <v>0</v>
      </c>
      <c r="BD23" s="79" t="s">
        <v>94</v>
      </c>
      <c r="BE23" s="69"/>
      <c r="BF23" s="69"/>
      <c r="BG23" s="69"/>
      <c r="BH23" s="69"/>
      <c r="BI23" s="69"/>
      <c r="BJ23" s="69"/>
    </row>
    <row r="24" spans="1:62" ht="24.75" customHeight="1" thickBot="1" x14ac:dyDescent="0.3">
      <c r="A24" s="73"/>
      <c r="B24" s="86" t="s">
        <v>91</v>
      </c>
      <c r="C24" s="98">
        <f>BC21</f>
        <v>0</v>
      </c>
      <c r="D24" s="115" t="s">
        <v>153</v>
      </c>
      <c r="E24" s="112"/>
      <c r="F24" s="113"/>
      <c r="G24" s="85"/>
      <c r="H24" s="120"/>
      <c r="I24" s="120"/>
      <c r="J24" s="76" t="s">
        <v>154</v>
      </c>
      <c r="K24" s="71"/>
      <c r="L24" s="71"/>
      <c r="M24" s="120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  <c r="AA24" s="28"/>
      <c r="AB24" s="68"/>
      <c r="AC24" s="92" t="s">
        <v>116</v>
      </c>
      <c r="AD24" s="93">
        <v>24</v>
      </c>
      <c r="AE24" s="79" t="s">
        <v>135</v>
      </c>
      <c r="AF24" s="93" t="s">
        <v>96</v>
      </c>
      <c r="AG24" s="93">
        <v>16</v>
      </c>
      <c r="AH24" s="93"/>
      <c r="AI24" s="94">
        <f t="shared" ref="AI24:AI30" si="3">AK24*AG24</f>
        <v>0</v>
      </c>
      <c r="AJ24" s="95" t="b">
        <v>0</v>
      </c>
      <c r="AK24" s="96" t="b">
        <v>0</v>
      </c>
      <c r="AL24" s="95"/>
      <c r="AM24" s="97"/>
      <c r="AN24" s="95"/>
      <c r="AO24" s="97"/>
      <c r="AP24" s="97"/>
      <c r="AQ24" s="97"/>
      <c r="AR24" s="97"/>
      <c r="AS24" s="79"/>
      <c r="AT24" s="97"/>
      <c r="AU24" s="97"/>
      <c r="AV24" s="97"/>
      <c r="AW24" s="97"/>
      <c r="AX24" s="97"/>
      <c r="AY24" s="97"/>
      <c r="AZ24" s="97"/>
      <c r="BA24" s="97"/>
      <c r="BB24" s="95"/>
      <c r="BC24" s="79">
        <f t="shared" si="2"/>
        <v>0</v>
      </c>
      <c r="BD24" s="79" t="s">
        <v>96</v>
      </c>
      <c r="BE24" s="69"/>
      <c r="BF24" s="69"/>
      <c r="BG24" s="69"/>
      <c r="BH24" s="69"/>
      <c r="BI24" s="69"/>
      <c r="BJ24" s="69"/>
    </row>
    <row r="25" spans="1:62" ht="24.75" customHeight="1" thickBot="1" x14ac:dyDescent="0.3">
      <c r="A25" s="73"/>
      <c r="B25" s="81"/>
      <c r="C25" s="75"/>
      <c r="D25" s="76" t="s">
        <v>155</v>
      </c>
      <c r="E25" s="100"/>
      <c r="F25" s="100"/>
      <c r="G25" s="85"/>
      <c r="H25" s="86" t="s">
        <v>101</v>
      </c>
      <c r="I25" s="87">
        <f>BC36</f>
        <v>0</v>
      </c>
      <c r="J25" s="88" t="s">
        <v>156</v>
      </c>
      <c r="K25" s="89"/>
      <c r="L25" s="90"/>
      <c r="M25" s="120">
        <v>36</v>
      </c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8"/>
      <c r="AB25" s="68"/>
      <c r="AC25" s="105"/>
      <c r="AD25" s="79">
        <v>25</v>
      </c>
      <c r="AE25" s="79" t="s">
        <v>135</v>
      </c>
      <c r="AF25" s="92" t="s">
        <v>98</v>
      </c>
      <c r="AG25" s="93">
        <v>12</v>
      </c>
      <c r="AH25" s="93" t="s">
        <v>157</v>
      </c>
      <c r="AI25" s="121">
        <f t="shared" si="3"/>
        <v>0</v>
      </c>
      <c r="AJ25" s="122" t="b">
        <v>0</v>
      </c>
      <c r="AK25" s="123" t="b">
        <v>0</v>
      </c>
      <c r="AL25" s="95"/>
      <c r="AM25" s="97"/>
      <c r="AN25" s="95"/>
      <c r="AO25" s="97"/>
      <c r="AP25" s="97"/>
      <c r="AQ25" s="97"/>
      <c r="AR25" s="97"/>
      <c r="AS25" s="79"/>
      <c r="AT25" s="97"/>
      <c r="AU25" s="97"/>
      <c r="AV25" s="97"/>
      <c r="AW25" s="97"/>
      <c r="AX25" s="97"/>
      <c r="AY25" s="97"/>
      <c r="AZ25" s="97"/>
      <c r="BA25" s="97"/>
      <c r="BB25" s="95"/>
      <c r="BC25" s="79">
        <f>AJ25+AK25+AL25</f>
        <v>0</v>
      </c>
      <c r="BD25" s="79" t="s">
        <v>98</v>
      </c>
      <c r="BE25" s="69"/>
      <c r="BF25" s="69"/>
      <c r="BG25" s="69"/>
      <c r="BH25" s="69"/>
      <c r="BI25" s="69"/>
      <c r="BJ25" s="69"/>
    </row>
    <row r="26" spans="1:62" ht="24.75" customHeight="1" thickBot="1" x14ac:dyDescent="0.3">
      <c r="A26" s="73"/>
      <c r="B26" s="74" t="s">
        <v>93</v>
      </c>
      <c r="C26" s="98">
        <f>BC22</f>
        <v>0</v>
      </c>
      <c r="D26" s="114" t="s">
        <v>158</v>
      </c>
      <c r="E26" s="83"/>
      <c r="F26" s="84"/>
      <c r="G26" s="85"/>
      <c r="H26" s="120"/>
      <c r="I26" s="120"/>
      <c r="J26" s="124" t="s">
        <v>159</v>
      </c>
      <c r="K26" s="71"/>
      <c r="L26" s="71"/>
      <c r="M26" s="120"/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8"/>
      <c r="AB26" s="68"/>
      <c r="AC26" s="105"/>
      <c r="AD26" s="79">
        <v>26</v>
      </c>
      <c r="AE26" s="79" t="s">
        <v>135</v>
      </c>
      <c r="AF26" s="108" t="s">
        <v>99</v>
      </c>
      <c r="AG26" s="109">
        <v>10</v>
      </c>
      <c r="AH26" s="109"/>
      <c r="AI26" s="121">
        <f t="shared" si="3"/>
        <v>0</v>
      </c>
      <c r="AJ26" s="125" t="b">
        <v>0</v>
      </c>
      <c r="AK26" s="126" t="b">
        <v>0</v>
      </c>
      <c r="AL26" s="95"/>
      <c r="AM26" s="97"/>
      <c r="AN26" s="95"/>
      <c r="AO26" s="97"/>
      <c r="AP26" s="97"/>
      <c r="AQ26" s="97"/>
      <c r="AR26" s="97"/>
      <c r="AS26" s="79"/>
      <c r="AT26" s="97"/>
      <c r="AU26" s="97"/>
      <c r="AV26" s="97"/>
      <c r="AW26" s="97"/>
      <c r="AX26" s="97"/>
      <c r="AY26" s="97"/>
      <c r="AZ26" s="97"/>
      <c r="BA26" s="97"/>
      <c r="BB26" s="95"/>
      <c r="BC26" s="79">
        <f t="shared" si="2"/>
        <v>0</v>
      </c>
      <c r="BD26" s="79" t="s">
        <v>99</v>
      </c>
      <c r="BE26" s="69"/>
      <c r="BF26" s="69"/>
      <c r="BG26" s="69"/>
      <c r="BH26" s="69"/>
      <c r="BI26" s="69"/>
      <c r="BJ26" s="69"/>
    </row>
    <row r="27" spans="1:62" ht="24.75" customHeight="1" thickBot="1" x14ac:dyDescent="0.3">
      <c r="A27" s="73"/>
      <c r="B27" s="74" t="s">
        <v>94</v>
      </c>
      <c r="C27" s="98">
        <f>BC23</f>
        <v>0</v>
      </c>
      <c r="D27" s="115" t="s">
        <v>160</v>
      </c>
      <c r="E27" s="112"/>
      <c r="F27" s="113"/>
      <c r="G27" s="85"/>
      <c r="H27" s="86" t="s">
        <v>102</v>
      </c>
      <c r="I27" s="87">
        <f>BC37</f>
        <v>0</v>
      </c>
      <c r="J27" s="88" t="s">
        <v>161</v>
      </c>
      <c r="K27" s="89"/>
      <c r="L27" s="90"/>
      <c r="M27" s="91">
        <v>37</v>
      </c>
      <c r="N27" s="75"/>
      <c r="O27" s="28"/>
      <c r="P27" s="28"/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8"/>
      <c r="AB27" s="68"/>
      <c r="AC27" s="108"/>
      <c r="AD27" s="109">
        <v>27</v>
      </c>
      <c r="AE27" s="79" t="s">
        <v>135</v>
      </c>
      <c r="AF27" s="109" t="s">
        <v>81</v>
      </c>
      <c r="AG27" s="109">
        <v>8</v>
      </c>
      <c r="AH27" s="109"/>
      <c r="AI27" s="110">
        <f t="shared" si="3"/>
        <v>0</v>
      </c>
      <c r="AJ27" s="95" t="b">
        <v>0</v>
      </c>
      <c r="AK27" s="96" t="b">
        <v>0</v>
      </c>
      <c r="AL27" s="95"/>
      <c r="AM27" s="97"/>
      <c r="AN27" s="95"/>
      <c r="AO27" s="97"/>
      <c r="AP27" s="97"/>
      <c r="AQ27" s="97"/>
      <c r="AR27" s="97"/>
      <c r="AS27" s="79"/>
      <c r="AT27" s="97"/>
      <c r="AU27" s="97"/>
      <c r="AV27" s="97"/>
      <c r="AW27" s="97"/>
      <c r="AX27" s="97"/>
      <c r="AY27" s="97"/>
      <c r="AZ27" s="97"/>
      <c r="BA27" s="97"/>
      <c r="BB27" s="95"/>
      <c r="BC27" s="79">
        <f t="shared" si="2"/>
        <v>0</v>
      </c>
      <c r="BD27" s="79" t="s">
        <v>81</v>
      </c>
      <c r="BE27" s="69"/>
      <c r="BF27" s="69"/>
      <c r="BG27" s="69"/>
      <c r="BH27" s="69"/>
      <c r="BI27" s="69"/>
      <c r="BJ27" s="69"/>
    </row>
    <row r="28" spans="1:62" ht="24.75" customHeight="1" thickBot="1" x14ac:dyDescent="0.3">
      <c r="A28" s="73"/>
      <c r="B28" s="81"/>
      <c r="C28" s="75"/>
      <c r="D28" s="76" t="s">
        <v>162</v>
      </c>
      <c r="E28" s="100"/>
      <c r="F28" s="100"/>
      <c r="G28" s="85"/>
      <c r="H28" s="77"/>
      <c r="I28" s="71"/>
      <c r="J28" s="76" t="s">
        <v>163</v>
      </c>
      <c r="K28" s="71"/>
      <c r="L28" s="71"/>
      <c r="M28" s="91"/>
      <c r="N28" s="28"/>
      <c r="O28" s="28"/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8"/>
      <c r="AB28" s="68"/>
      <c r="AC28" s="127" t="s">
        <v>117</v>
      </c>
      <c r="AD28" s="128">
        <v>28</v>
      </c>
      <c r="AE28" s="79" t="s">
        <v>135</v>
      </c>
      <c r="AF28" s="128" t="s">
        <v>83</v>
      </c>
      <c r="AG28" s="128">
        <v>16</v>
      </c>
      <c r="AH28" s="93"/>
      <c r="AI28" s="94">
        <f t="shared" si="3"/>
        <v>0</v>
      </c>
      <c r="AJ28" s="95" t="b">
        <v>0</v>
      </c>
      <c r="AK28" s="96" t="b">
        <v>0</v>
      </c>
      <c r="AL28" s="95"/>
      <c r="AM28" s="97"/>
      <c r="AN28" s="95"/>
      <c r="AO28" s="97"/>
      <c r="AP28" s="97"/>
      <c r="AQ28" s="97"/>
      <c r="AR28" s="97"/>
      <c r="AS28" s="79"/>
      <c r="AT28" s="97"/>
      <c r="AU28" s="97"/>
      <c r="AV28" s="97"/>
      <c r="AW28" s="97"/>
      <c r="AX28" s="97"/>
      <c r="AY28" s="97"/>
      <c r="AZ28" s="97"/>
      <c r="BA28" s="97"/>
      <c r="BB28" s="95"/>
      <c r="BC28" s="79">
        <f>AJ28+AK28+AL28+AM28+AN28+AO28+AP28</f>
        <v>0</v>
      </c>
      <c r="BD28" s="79" t="s">
        <v>83</v>
      </c>
      <c r="BE28" s="69"/>
      <c r="BF28" s="69"/>
      <c r="BG28" s="69"/>
      <c r="BH28" s="69"/>
      <c r="BI28" s="69"/>
      <c r="BJ28" s="69"/>
    </row>
    <row r="29" spans="1:62" ht="24.75" customHeight="1" thickBot="1" x14ac:dyDescent="0.3">
      <c r="A29" s="73"/>
      <c r="B29" s="86" t="s">
        <v>96</v>
      </c>
      <c r="C29" s="98">
        <f>BC24</f>
        <v>0</v>
      </c>
      <c r="D29" s="114" t="s">
        <v>164</v>
      </c>
      <c r="E29" s="83"/>
      <c r="F29" s="84"/>
      <c r="G29" s="85"/>
      <c r="H29" s="116"/>
      <c r="I29" s="71"/>
      <c r="J29" s="82" t="s">
        <v>165</v>
      </c>
      <c r="K29" s="129"/>
      <c r="L29" s="130"/>
      <c r="M29" s="102">
        <v>38</v>
      </c>
      <c r="N29" s="28"/>
      <c r="O29" s="28"/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8"/>
      <c r="AB29" s="68"/>
      <c r="AC29" s="105"/>
      <c r="AD29" s="79">
        <v>29</v>
      </c>
      <c r="AE29" s="79" t="s">
        <v>135</v>
      </c>
      <c r="AF29" s="79" t="s">
        <v>85</v>
      </c>
      <c r="AG29" s="79">
        <v>16</v>
      </c>
      <c r="AH29" s="79"/>
      <c r="AI29" s="94">
        <f t="shared" si="3"/>
        <v>0</v>
      </c>
      <c r="AJ29" s="95" t="b">
        <v>0</v>
      </c>
      <c r="AK29" s="96" t="b">
        <v>0</v>
      </c>
      <c r="AL29" s="95"/>
      <c r="AM29" s="97"/>
      <c r="AN29" s="95"/>
      <c r="AO29" s="97"/>
      <c r="AP29" s="97">
        <v>1</v>
      </c>
      <c r="AQ29" s="97">
        <v>2</v>
      </c>
      <c r="AR29" s="97">
        <v>3</v>
      </c>
      <c r="AS29" s="79"/>
      <c r="AT29" s="97"/>
      <c r="AU29" s="97"/>
      <c r="AV29" s="97"/>
      <c r="AW29" s="97"/>
      <c r="AX29" s="97"/>
      <c r="AY29" s="97"/>
      <c r="AZ29" s="97"/>
      <c r="BA29" s="97"/>
      <c r="BB29" s="95"/>
      <c r="BC29" s="79">
        <f>AJ29+AK29</f>
        <v>0</v>
      </c>
      <c r="BD29" s="79" t="s">
        <v>85</v>
      </c>
      <c r="BE29" s="69"/>
      <c r="BF29" s="69"/>
      <c r="BG29" s="69"/>
      <c r="BH29" s="69"/>
      <c r="BI29" s="69"/>
      <c r="BJ29" s="69"/>
    </row>
    <row r="30" spans="1:62" ht="24.75" customHeight="1" thickBot="1" x14ac:dyDescent="0.3">
      <c r="A30" s="73"/>
      <c r="B30" s="74" t="s">
        <v>98</v>
      </c>
      <c r="C30" s="98">
        <f>BC25</f>
        <v>0</v>
      </c>
      <c r="D30" s="131" t="s">
        <v>166</v>
      </c>
      <c r="E30" s="83"/>
      <c r="F30" s="84"/>
      <c r="G30" s="85"/>
      <c r="H30" s="86" t="s">
        <v>103</v>
      </c>
      <c r="I30" s="87">
        <f>BC38</f>
        <v>0</v>
      </c>
      <c r="J30" s="132" t="s">
        <v>167</v>
      </c>
      <c r="K30" s="71"/>
      <c r="L30" s="133"/>
      <c r="M30" s="117">
        <v>38</v>
      </c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8"/>
      <c r="AB30" s="68"/>
      <c r="AC30" s="105"/>
      <c r="AD30" s="79">
        <v>30</v>
      </c>
      <c r="AE30" s="79" t="s">
        <v>135</v>
      </c>
      <c r="AF30" s="79" t="s">
        <v>87</v>
      </c>
      <c r="AG30" s="79">
        <v>14</v>
      </c>
      <c r="AH30" s="79"/>
      <c r="AI30" s="94">
        <f t="shared" si="3"/>
        <v>0</v>
      </c>
      <c r="AJ30" s="95" t="b">
        <v>0</v>
      </c>
      <c r="AK30" s="96" t="b">
        <v>0</v>
      </c>
      <c r="AL30" s="95"/>
      <c r="AM30" s="97"/>
      <c r="AN30" s="95"/>
      <c r="AO30" s="97"/>
      <c r="AP30" s="97"/>
      <c r="AQ30" s="97"/>
      <c r="AR30" s="97"/>
      <c r="AS30" s="79"/>
      <c r="AT30" s="97"/>
      <c r="AU30" s="97"/>
      <c r="AV30" s="97"/>
      <c r="AW30" s="97"/>
      <c r="AX30" s="97"/>
      <c r="AY30" s="97"/>
      <c r="AZ30" s="97"/>
      <c r="BA30" s="97"/>
      <c r="BB30" s="95"/>
      <c r="BC30" s="79">
        <f>AJ30+AK30+AL30</f>
        <v>0</v>
      </c>
      <c r="BD30" s="79" t="s">
        <v>87</v>
      </c>
      <c r="BE30" s="69"/>
      <c r="BF30" s="69"/>
      <c r="BG30" s="69"/>
      <c r="BH30" s="69"/>
      <c r="BI30" s="69"/>
      <c r="BJ30" s="69"/>
    </row>
    <row r="31" spans="1:62" ht="24.75" customHeight="1" thickBot="1" x14ac:dyDescent="0.3">
      <c r="A31" s="73"/>
      <c r="B31" s="74" t="s">
        <v>99</v>
      </c>
      <c r="C31" s="98">
        <f>BC26</f>
        <v>0</v>
      </c>
      <c r="D31" s="134" t="s">
        <v>168</v>
      </c>
      <c r="E31" s="112"/>
      <c r="F31" s="113"/>
      <c r="G31" s="85"/>
      <c r="H31" s="86" t="s">
        <v>108</v>
      </c>
      <c r="I31" s="87">
        <f>BC39</f>
        <v>0</v>
      </c>
      <c r="J31" s="115" t="s">
        <v>169</v>
      </c>
      <c r="K31" s="135"/>
      <c r="L31" s="136"/>
      <c r="M31" s="91">
        <v>39</v>
      </c>
      <c r="N31" s="28"/>
      <c r="O31" s="28"/>
      <c r="P31" s="28"/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8"/>
      <c r="AB31" s="68"/>
      <c r="AC31" s="137" t="s">
        <v>118</v>
      </c>
      <c r="AD31" s="138">
        <v>31</v>
      </c>
      <c r="AE31" s="139" t="s">
        <v>170</v>
      </c>
      <c r="AF31" s="138" t="s">
        <v>89</v>
      </c>
      <c r="AG31" s="138"/>
      <c r="AH31" s="138"/>
      <c r="AI31" s="140">
        <f>BE31</f>
        <v>0</v>
      </c>
      <c r="AJ31" s="95" t="b">
        <v>0</v>
      </c>
      <c r="AK31" s="96" t="b">
        <v>0</v>
      </c>
      <c r="AL31" s="96" t="b">
        <v>0</v>
      </c>
      <c r="AM31" s="95"/>
      <c r="AN31" s="95"/>
      <c r="AO31" s="97"/>
      <c r="AP31" s="97">
        <v>18</v>
      </c>
      <c r="AQ31" s="97">
        <v>22</v>
      </c>
      <c r="AR31" s="97"/>
      <c r="AS31" s="79"/>
      <c r="AT31" s="141">
        <f>IF(AK31,AP31,0)</f>
        <v>0</v>
      </c>
      <c r="AU31" s="141">
        <f>IF(AL31,AQ31,0)</f>
        <v>0</v>
      </c>
      <c r="AV31" s="97"/>
      <c r="AW31" s="97"/>
      <c r="AX31" s="97"/>
      <c r="AY31" s="97"/>
      <c r="AZ31" s="97"/>
      <c r="BA31" s="97"/>
      <c r="BB31" s="95"/>
      <c r="BC31" s="79">
        <f t="shared" ref="BC31:BC38" si="4">AJ31+AK31+AL31+AM31+AN31+AO31</f>
        <v>0</v>
      </c>
      <c r="BD31" s="79" t="s">
        <v>89</v>
      </c>
      <c r="BE31" s="69">
        <f t="shared" ref="BE31:BE39" si="5">SUM(AT31:BA31)</f>
        <v>0</v>
      </c>
      <c r="BF31" s="69"/>
      <c r="BG31" s="69"/>
      <c r="BH31" s="69"/>
      <c r="BI31" s="69"/>
      <c r="BJ31" s="69"/>
    </row>
    <row r="32" spans="1:62" ht="24.75" customHeight="1" thickBot="1" x14ac:dyDescent="0.3">
      <c r="A32" s="73"/>
      <c r="B32" s="86" t="s">
        <v>81</v>
      </c>
      <c r="C32" s="98">
        <f>BC27</f>
        <v>0</v>
      </c>
      <c r="D32" s="115" t="s">
        <v>171</v>
      </c>
      <c r="E32" s="112"/>
      <c r="F32" s="113"/>
      <c r="G32" s="85"/>
      <c r="H32" s="77"/>
      <c r="I32" s="71"/>
      <c r="J32" s="76" t="s">
        <v>172</v>
      </c>
      <c r="K32" s="71"/>
      <c r="L32" s="71"/>
      <c r="M32" s="91"/>
      <c r="N32" s="28"/>
      <c r="O32" s="28"/>
      <c r="P32" s="28"/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8"/>
      <c r="AB32" s="68"/>
      <c r="AC32" s="79" t="s">
        <v>119</v>
      </c>
      <c r="AD32" s="79">
        <v>32</v>
      </c>
      <c r="AE32" s="142" t="s">
        <v>173</v>
      </c>
      <c r="AF32" s="79" t="s">
        <v>92</v>
      </c>
      <c r="AG32" s="79"/>
      <c r="AH32" s="79"/>
      <c r="AI32" s="140">
        <f>BE32</f>
        <v>0</v>
      </c>
      <c r="AJ32" s="95" t="b">
        <v>0</v>
      </c>
      <c r="AK32" s="96" t="b">
        <v>0</v>
      </c>
      <c r="AL32" s="96" t="b">
        <v>0</v>
      </c>
      <c r="AM32" s="96" t="b">
        <v>0</v>
      </c>
      <c r="AN32" s="95"/>
      <c r="AO32" s="95"/>
      <c r="AP32" s="97">
        <v>18</v>
      </c>
      <c r="AQ32" s="97">
        <v>20</v>
      </c>
      <c r="AR32" s="97">
        <v>22</v>
      </c>
      <c r="AS32" s="79"/>
      <c r="AT32" s="141">
        <f>IF(AK32,AP32,0)</f>
        <v>0</v>
      </c>
      <c r="AU32" s="141">
        <f>IF(AL32,AQ32,0)</f>
        <v>0</v>
      </c>
      <c r="AV32" s="141">
        <f>IF(AM32,AR32,0)</f>
        <v>0</v>
      </c>
      <c r="AW32" s="97"/>
      <c r="AX32" s="97"/>
      <c r="AY32" s="97"/>
      <c r="AZ32" s="97"/>
      <c r="BA32" s="97"/>
      <c r="BB32" s="95"/>
      <c r="BC32" s="79">
        <f t="shared" si="4"/>
        <v>0</v>
      </c>
      <c r="BD32" s="79" t="s">
        <v>92</v>
      </c>
      <c r="BE32" s="69">
        <f t="shared" si="5"/>
        <v>0</v>
      </c>
      <c r="BF32" s="69"/>
      <c r="BG32" s="69"/>
      <c r="BH32" s="69"/>
      <c r="BI32" s="69"/>
      <c r="BJ32" s="69"/>
    </row>
    <row r="33" spans="1:62" ht="24.75" customHeight="1" thickBot="1" x14ac:dyDescent="0.4">
      <c r="A33" s="73"/>
      <c r="B33" s="81"/>
      <c r="C33" s="75"/>
      <c r="D33" s="76" t="s">
        <v>174</v>
      </c>
      <c r="E33" s="100"/>
      <c r="F33" s="100"/>
      <c r="G33" s="85"/>
      <c r="H33" s="86" t="s">
        <v>109</v>
      </c>
      <c r="I33" s="87">
        <f>BC40</f>
        <v>0</v>
      </c>
      <c r="J33" s="114" t="s">
        <v>175</v>
      </c>
      <c r="K33" s="143"/>
      <c r="L33" s="144"/>
      <c r="M33" s="117">
        <v>40</v>
      </c>
      <c r="N33" s="145" t="s">
        <v>65</v>
      </c>
      <c r="O33" s="28"/>
      <c r="P33" s="28"/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8"/>
      <c r="AB33" s="68"/>
      <c r="AC33" s="79" t="s">
        <v>120</v>
      </c>
      <c r="AD33" s="79">
        <v>33</v>
      </c>
      <c r="AE33" s="79" t="s">
        <v>135</v>
      </c>
      <c r="AF33" s="79" t="s">
        <v>95</v>
      </c>
      <c r="AG33" s="79">
        <v>16</v>
      </c>
      <c r="AH33" s="79"/>
      <c r="AI33" s="94">
        <f>AK33*AG33</f>
        <v>0</v>
      </c>
      <c r="AJ33" s="95" t="b">
        <v>0</v>
      </c>
      <c r="AK33" s="96" t="b">
        <v>0</v>
      </c>
      <c r="AL33" s="95"/>
      <c r="AM33" s="95"/>
      <c r="AN33" s="95"/>
      <c r="AO33" s="95"/>
      <c r="AP33" s="97"/>
      <c r="AQ33" s="97"/>
      <c r="AR33" s="97"/>
      <c r="AS33" s="79"/>
      <c r="AT33" s="97"/>
      <c r="AU33" s="97"/>
      <c r="AV33" s="97"/>
      <c r="AW33" s="97"/>
      <c r="AX33" s="97"/>
      <c r="AY33" s="97"/>
      <c r="AZ33" s="97"/>
      <c r="BA33" s="97"/>
      <c r="BB33" s="95"/>
      <c r="BC33" s="79">
        <f t="shared" si="4"/>
        <v>0</v>
      </c>
      <c r="BD33" s="79" t="s">
        <v>95</v>
      </c>
      <c r="BE33" s="69"/>
      <c r="BF33" s="69"/>
      <c r="BG33" s="69"/>
      <c r="BH33" s="69"/>
      <c r="BI33" s="69"/>
      <c r="BJ33" s="69"/>
    </row>
    <row r="34" spans="1:62" ht="24.75" customHeight="1" thickBot="1" x14ac:dyDescent="0.3">
      <c r="A34" s="73"/>
      <c r="B34" s="81"/>
      <c r="C34" s="75"/>
      <c r="D34" s="82" t="s">
        <v>176</v>
      </c>
      <c r="E34" s="83"/>
      <c r="F34" s="84"/>
      <c r="G34" s="85"/>
      <c r="H34" s="86" t="s">
        <v>126</v>
      </c>
      <c r="I34" s="87">
        <f>BC41</f>
        <v>0</v>
      </c>
      <c r="J34" s="115" t="s">
        <v>177</v>
      </c>
      <c r="K34" s="135"/>
      <c r="L34" s="136"/>
      <c r="M34" s="91">
        <v>41</v>
      </c>
      <c r="N34" s="226" t="str">
        <f>AP70</f>
        <v>missing input</v>
      </c>
      <c r="O34" s="28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8"/>
      <c r="AB34" s="68"/>
      <c r="AC34" s="79" t="s">
        <v>121</v>
      </c>
      <c r="AD34" s="79">
        <v>34</v>
      </c>
      <c r="AE34" s="79" t="s">
        <v>135</v>
      </c>
      <c r="AF34" s="79" t="s">
        <v>97</v>
      </c>
      <c r="AG34" s="79">
        <v>16</v>
      </c>
      <c r="AH34" s="79"/>
      <c r="AI34" s="94">
        <f>AK34*AG34</f>
        <v>0</v>
      </c>
      <c r="AJ34" s="95" t="b">
        <v>0</v>
      </c>
      <c r="AK34" s="96" t="b">
        <v>0</v>
      </c>
      <c r="AL34" s="95"/>
      <c r="AM34" s="95"/>
      <c r="AN34" s="95"/>
      <c r="AO34" s="97"/>
      <c r="AP34" s="97"/>
      <c r="AQ34" s="97"/>
      <c r="AR34" s="97"/>
      <c r="AS34" s="79"/>
      <c r="AT34" s="97"/>
      <c r="AU34" s="97"/>
      <c r="AV34" s="97"/>
      <c r="AW34" s="97"/>
      <c r="AX34" s="97"/>
      <c r="AY34" s="97"/>
      <c r="AZ34" s="97"/>
      <c r="BA34" s="97"/>
      <c r="BB34" s="95"/>
      <c r="BC34" s="79">
        <f t="shared" si="4"/>
        <v>0</v>
      </c>
      <c r="BD34" s="79" t="s">
        <v>97</v>
      </c>
      <c r="BE34" s="69"/>
      <c r="BF34" s="69"/>
      <c r="BG34" s="69"/>
      <c r="BH34" s="69"/>
      <c r="BI34" s="69"/>
      <c r="BJ34" s="69"/>
    </row>
    <row r="35" spans="1:62" ht="24.75" customHeight="1" thickBot="1" x14ac:dyDescent="0.3">
      <c r="A35" s="73"/>
      <c r="B35" s="86" t="s">
        <v>83</v>
      </c>
      <c r="C35" s="98">
        <f>BC28</f>
        <v>0</v>
      </c>
      <c r="D35" s="132" t="s">
        <v>178</v>
      </c>
      <c r="E35" s="100"/>
      <c r="F35" s="101"/>
      <c r="G35" s="85"/>
      <c r="H35" s="77"/>
      <c r="I35" s="71"/>
      <c r="J35" s="76" t="s">
        <v>179</v>
      </c>
      <c r="K35" s="71"/>
      <c r="L35" s="71"/>
      <c r="M35" s="91"/>
      <c r="N35" s="227"/>
      <c r="O35" s="28"/>
      <c r="P35" s="28"/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8"/>
      <c r="AB35" s="68"/>
      <c r="AC35" s="79" t="s">
        <v>122</v>
      </c>
      <c r="AD35" s="79">
        <v>35</v>
      </c>
      <c r="AE35" s="79" t="s">
        <v>135</v>
      </c>
      <c r="AF35" s="79" t="s">
        <v>100</v>
      </c>
      <c r="AG35" s="79">
        <v>24</v>
      </c>
      <c r="AH35" s="79"/>
      <c r="AI35" s="110">
        <f>AK35*AG35</f>
        <v>0</v>
      </c>
      <c r="AJ35" s="95" t="b">
        <v>0</v>
      </c>
      <c r="AK35" s="96" t="b">
        <v>0</v>
      </c>
      <c r="AL35" s="95"/>
      <c r="AM35" s="95"/>
      <c r="AN35" s="95"/>
      <c r="AO35" s="97"/>
      <c r="AP35" s="97"/>
      <c r="AQ35" s="97"/>
      <c r="AR35" s="97"/>
      <c r="AS35" s="79"/>
      <c r="AT35" s="97"/>
      <c r="AU35" s="97"/>
      <c r="AV35" s="97"/>
      <c r="AW35" s="97"/>
      <c r="AX35" s="97"/>
      <c r="AY35" s="97"/>
      <c r="AZ35" s="97"/>
      <c r="BA35" s="97"/>
      <c r="BB35" s="95"/>
      <c r="BC35" s="79">
        <f t="shared" si="4"/>
        <v>0</v>
      </c>
      <c r="BD35" s="79" t="s">
        <v>100</v>
      </c>
      <c r="BE35" s="69"/>
      <c r="BF35" s="69"/>
      <c r="BG35" s="69"/>
      <c r="BH35" s="69"/>
      <c r="BI35" s="69"/>
      <c r="BJ35" s="69"/>
    </row>
    <row r="36" spans="1:62" ht="24.75" customHeight="1" thickBot="1" x14ac:dyDescent="0.3">
      <c r="A36" s="73"/>
      <c r="B36" s="86" t="s">
        <v>85</v>
      </c>
      <c r="C36" s="98">
        <f>BC29</f>
        <v>0</v>
      </c>
      <c r="D36" s="132" t="s">
        <v>180</v>
      </c>
      <c r="E36" s="100"/>
      <c r="F36" s="101"/>
      <c r="G36" s="85"/>
      <c r="H36" s="86" t="s">
        <v>128</v>
      </c>
      <c r="I36" s="87">
        <f>BC42</f>
        <v>0</v>
      </c>
      <c r="J36" s="88" t="s">
        <v>181</v>
      </c>
      <c r="K36" s="89"/>
      <c r="L36" s="90"/>
      <c r="M36" s="91">
        <v>42</v>
      </c>
      <c r="N36" s="2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8"/>
      <c r="AB36" s="68"/>
      <c r="AC36" s="79" t="s">
        <v>123</v>
      </c>
      <c r="AD36" s="79">
        <v>36</v>
      </c>
      <c r="AE36" s="142" t="s">
        <v>173</v>
      </c>
      <c r="AF36" s="79" t="s">
        <v>101</v>
      </c>
      <c r="AG36" s="79"/>
      <c r="AH36" s="146">
        <v>8</v>
      </c>
      <c r="AI36" s="140">
        <f>BE36</f>
        <v>0</v>
      </c>
      <c r="AJ36" s="95" t="b">
        <v>0</v>
      </c>
      <c r="AK36" s="96" t="b">
        <v>0</v>
      </c>
      <c r="AL36" s="96" t="b">
        <v>0</v>
      </c>
      <c r="AM36" s="96" t="b">
        <v>0</v>
      </c>
      <c r="AN36" s="95"/>
      <c r="AO36" s="95"/>
      <c r="AP36" s="97"/>
      <c r="AQ36" s="97"/>
      <c r="AR36" s="97"/>
      <c r="AS36" s="79"/>
      <c r="AT36" s="147">
        <f>IF(AK36,$AH36*AT$14,0)</f>
        <v>0</v>
      </c>
      <c r="AU36" s="147">
        <f>IF(AL36,$AH36*AU$14,0)</f>
        <v>0</v>
      </c>
      <c r="AV36" s="147">
        <f>IF(AM36,$AH36*AV$14,0)</f>
        <v>0</v>
      </c>
      <c r="AW36" s="97"/>
      <c r="AX36" s="97"/>
      <c r="AY36" s="97"/>
      <c r="AZ36" s="97"/>
      <c r="BA36" s="97"/>
      <c r="BB36" s="95"/>
      <c r="BC36" s="79">
        <f t="shared" si="4"/>
        <v>0</v>
      </c>
      <c r="BD36" s="79" t="s">
        <v>101</v>
      </c>
      <c r="BE36" s="69">
        <f t="shared" si="5"/>
        <v>0</v>
      </c>
      <c r="BF36" s="69"/>
      <c r="BG36" s="69"/>
      <c r="BH36" s="69"/>
      <c r="BI36" s="69"/>
      <c r="BJ36" s="69"/>
    </row>
    <row r="37" spans="1:62" ht="24.75" customHeight="1" thickBot="1" x14ac:dyDescent="0.3">
      <c r="A37" s="75"/>
      <c r="B37" s="86" t="s">
        <v>87</v>
      </c>
      <c r="C37" s="98">
        <f>BC30</f>
        <v>0</v>
      </c>
      <c r="D37" s="115" t="s">
        <v>182</v>
      </c>
      <c r="E37" s="112"/>
      <c r="F37" s="113"/>
      <c r="G37" s="71"/>
      <c r="H37" s="116"/>
      <c r="I37" s="71"/>
      <c r="J37" s="124" t="s">
        <v>183</v>
      </c>
      <c r="K37" s="75"/>
      <c r="L37" s="75"/>
      <c r="M37" s="148"/>
      <c r="N37" s="149"/>
      <c r="O37" s="28"/>
      <c r="P37" s="28"/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8"/>
      <c r="AB37" s="68"/>
      <c r="AC37" s="79" t="s">
        <v>124</v>
      </c>
      <c r="AD37" s="79">
        <v>37</v>
      </c>
      <c r="AE37" s="142" t="s">
        <v>173</v>
      </c>
      <c r="AF37" s="79" t="s">
        <v>102</v>
      </c>
      <c r="AG37" s="79"/>
      <c r="AH37" s="79"/>
      <c r="AI37" s="140">
        <f>BE37</f>
        <v>0</v>
      </c>
      <c r="AJ37" s="95" t="b">
        <v>0</v>
      </c>
      <c r="AK37" s="96" t="b">
        <v>0</v>
      </c>
      <c r="AL37" s="96" t="b">
        <v>0</v>
      </c>
      <c r="AM37" s="96" t="b">
        <v>0</v>
      </c>
      <c r="AN37" s="95"/>
      <c r="AO37" s="95"/>
      <c r="AP37" s="97">
        <v>16</v>
      </c>
      <c r="AQ37" s="97">
        <v>18</v>
      </c>
      <c r="AR37" s="97">
        <v>20</v>
      </c>
      <c r="AS37" s="79"/>
      <c r="AT37" s="141">
        <f>IF(AK37,AP37,0)</f>
        <v>0</v>
      </c>
      <c r="AU37" s="141">
        <f>IF(AL37,AQ37,0)</f>
        <v>0</v>
      </c>
      <c r="AV37" s="141">
        <f>IF(AM37,AR37,0)</f>
        <v>0</v>
      </c>
      <c r="AW37" s="97"/>
      <c r="AX37" s="97"/>
      <c r="AY37" s="97"/>
      <c r="AZ37" s="97"/>
      <c r="BA37" s="97"/>
      <c r="BB37" s="95"/>
      <c r="BC37" s="79">
        <f t="shared" si="4"/>
        <v>0</v>
      </c>
      <c r="BD37" s="79" t="s">
        <v>102</v>
      </c>
      <c r="BE37" s="69">
        <f t="shared" si="5"/>
        <v>0</v>
      </c>
      <c r="BF37" s="69"/>
      <c r="BG37" s="69"/>
      <c r="BH37" s="69"/>
      <c r="BI37" s="69"/>
      <c r="BJ37" s="69"/>
    </row>
    <row r="38" spans="1:62" ht="24.75" customHeight="1" thickBot="1" x14ac:dyDescent="0.25">
      <c r="A38" s="75"/>
      <c r="B38" s="81"/>
      <c r="C38" s="75"/>
      <c r="D38" s="71"/>
      <c r="E38" s="71"/>
      <c r="F38" s="71"/>
      <c r="G38" s="77"/>
      <c r="H38" s="116"/>
      <c r="I38" s="71"/>
      <c r="J38" s="150" t="s">
        <v>184</v>
      </c>
      <c r="K38" s="71"/>
      <c r="L38" s="75"/>
      <c r="M38" s="151"/>
      <c r="N38" s="75"/>
      <c r="O38" s="28"/>
      <c r="P38" s="28"/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8"/>
      <c r="AB38" s="68"/>
      <c r="AC38" s="92" t="s">
        <v>125</v>
      </c>
      <c r="AD38" s="93">
        <v>38</v>
      </c>
      <c r="AE38" s="152" t="s">
        <v>170</v>
      </c>
      <c r="AF38" s="93" t="s">
        <v>103</v>
      </c>
      <c r="AG38" s="93"/>
      <c r="AH38" s="153">
        <v>12</v>
      </c>
      <c r="AI38" s="140">
        <f>BE38</f>
        <v>0</v>
      </c>
      <c r="AJ38" s="95" t="b">
        <v>0</v>
      </c>
      <c r="AK38" s="96" t="b">
        <v>0</v>
      </c>
      <c r="AL38" s="96" t="b">
        <v>0</v>
      </c>
      <c r="AM38" s="95"/>
      <c r="AN38" s="95"/>
      <c r="AO38" s="95"/>
      <c r="AP38" s="97"/>
      <c r="AQ38" s="97"/>
      <c r="AR38" s="97"/>
      <c r="AS38" s="79"/>
      <c r="AT38" s="147">
        <f>IF(AK38,$AH38*AT$14,0)</f>
        <v>0</v>
      </c>
      <c r="AU38" s="147">
        <f>IF(AL38,$AH38*AU$14,0)</f>
        <v>0</v>
      </c>
      <c r="AV38" s="97"/>
      <c r="AW38" s="97"/>
      <c r="AX38" s="97"/>
      <c r="AY38" s="97"/>
      <c r="AZ38" s="97"/>
      <c r="BA38" s="97"/>
      <c r="BB38" s="95"/>
      <c r="BC38" s="79">
        <f t="shared" si="4"/>
        <v>0</v>
      </c>
      <c r="BD38" s="79" t="s">
        <v>103</v>
      </c>
      <c r="BE38" s="69">
        <f t="shared" si="5"/>
        <v>0</v>
      </c>
      <c r="BF38" s="69"/>
      <c r="BG38" s="69"/>
      <c r="BH38" s="69"/>
      <c r="BI38" s="69"/>
      <c r="BJ38" s="69"/>
    </row>
    <row r="39" spans="1:62" ht="24.75" customHeight="1" thickBot="1" x14ac:dyDescent="0.25">
      <c r="A39" s="75"/>
      <c r="D39" s="71"/>
      <c r="E39" s="71"/>
      <c r="F39" s="71"/>
      <c r="G39" s="71"/>
      <c r="H39" s="77"/>
      <c r="I39" s="71"/>
      <c r="K39" s="71"/>
      <c r="L39" s="71"/>
      <c r="M39" s="71"/>
      <c r="N39" s="75"/>
      <c r="O39" s="28"/>
      <c r="P39" s="28"/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8"/>
      <c r="AB39" s="68"/>
      <c r="AC39" s="155"/>
      <c r="AD39" s="109">
        <v>39</v>
      </c>
      <c r="AE39" s="156" t="s">
        <v>170</v>
      </c>
      <c r="AF39" s="109" t="s">
        <v>108</v>
      </c>
      <c r="AG39" s="109"/>
      <c r="AH39" s="157">
        <v>8</v>
      </c>
      <c r="AI39" s="140">
        <f>BE39</f>
        <v>0</v>
      </c>
      <c r="AJ39" s="95" t="b">
        <v>0</v>
      </c>
      <c r="AK39" s="96" t="b">
        <v>0</v>
      </c>
      <c r="AL39" s="96" t="b">
        <v>0</v>
      </c>
      <c r="AM39" s="95"/>
      <c r="AN39" s="95"/>
      <c r="AO39" s="95"/>
      <c r="AP39" s="97"/>
      <c r="AQ39" s="97"/>
      <c r="AR39" s="97"/>
      <c r="AS39" s="79"/>
      <c r="AT39" s="147">
        <f>IF(AK39,$AH39*AT$14,0)</f>
        <v>0</v>
      </c>
      <c r="AU39" s="147">
        <f>IF(AL39,$AH39*AU$14,0)</f>
        <v>0</v>
      </c>
      <c r="AV39" s="97"/>
      <c r="AW39" s="97"/>
      <c r="AX39" s="97"/>
      <c r="AY39" s="97"/>
      <c r="AZ39" s="97"/>
      <c r="BA39" s="97"/>
      <c r="BB39" s="95"/>
      <c r="BC39" s="79">
        <f>AJ39+AK39+AL39+AM39+AN39+AO39</f>
        <v>0</v>
      </c>
      <c r="BD39" s="79" t="s">
        <v>108</v>
      </c>
      <c r="BE39" s="69">
        <f t="shared" si="5"/>
        <v>0</v>
      </c>
      <c r="BF39" s="69"/>
      <c r="BG39" s="69"/>
      <c r="BH39" s="69"/>
      <c r="BI39" s="69"/>
      <c r="BJ39" s="69"/>
    </row>
    <row r="40" spans="1:62" ht="22.5" customHeight="1" thickBot="1" x14ac:dyDescent="0.25">
      <c r="A40" s="75"/>
      <c r="B40" s="81"/>
      <c r="C40" s="75"/>
      <c r="D40" s="71"/>
      <c r="E40" s="71"/>
      <c r="F40" s="71"/>
      <c r="G40" s="77"/>
      <c r="H40" s="77"/>
      <c r="I40" s="77"/>
      <c r="J40" s="71"/>
      <c r="K40" s="77"/>
      <c r="L40" s="71"/>
      <c r="M40" s="77"/>
      <c r="N40" s="71"/>
      <c r="O40" s="28"/>
      <c r="P40" s="28"/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8"/>
      <c r="AB40" s="68"/>
      <c r="AC40" s="92" t="s">
        <v>127</v>
      </c>
      <c r="AD40" s="93">
        <v>40</v>
      </c>
      <c r="AE40" s="79" t="s">
        <v>135</v>
      </c>
      <c r="AF40" s="93" t="s">
        <v>109</v>
      </c>
      <c r="AG40" s="93"/>
      <c r="AH40" s="93" t="s">
        <v>150</v>
      </c>
      <c r="AI40" s="118"/>
      <c r="AJ40" s="95" t="b">
        <v>0</v>
      </c>
      <c r="AK40" s="96" t="b">
        <v>0</v>
      </c>
      <c r="AL40" s="95"/>
      <c r="AM40" s="95"/>
      <c r="AN40" s="95"/>
      <c r="AO40" s="95"/>
      <c r="AP40" s="97"/>
      <c r="AQ40" s="97"/>
      <c r="AR40" s="97"/>
      <c r="AS40" s="79"/>
      <c r="AT40" s="97"/>
      <c r="AU40" s="97"/>
      <c r="AV40" s="97"/>
      <c r="AW40" s="97"/>
      <c r="AX40" s="97"/>
      <c r="AY40" s="97"/>
      <c r="AZ40" s="97"/>
      <c r="BA40" s="97"/>
      <c r="BB40" s="95"/>
      <c r="BC40" s="79">
        <f>AJ40+AK40+AL40+AM40+AN40+AO40</f>
        <v>0</v>
      </c>
      <c r="BD40" s="79" t="s">
        <v>109</v>
      </c>
      <c r="BE40" s="69"/>
      <c r="BF40" s="69"/>
      <c r="BG40" s="69"/>
      <c r="BH40" s="69"/>
      <c r="BI40" s="69"/>
      <c r="BJ40" s="69"/>
    </row>
    <row r="41" spans="1:62" ht="22.5" customHeight="1" thickBot="1" x14ac:dyDescent="0.25">
      <c r="A41" s="75"/>
      <c r="B41" s="77"/>
      <c r="C41" s="75"/>
      <c r="D41" s="71"/>
      <c r="E41" s="71"/>
      <c r="F41" s="71"/>
      <c r="G41" s="77"/>
      <c r="H41" s="77"/>
      <c r="I41" s="77"/>
      <c r="J41" s="71"/>
      <c r="K41" s="77"/>
      <c r="L41" s="71"/>
      <c r="M41" s="77"/>
      <c r="N41" s="71"/>
      <c r="O41" s="28"/>
      <c r="P41" s="28"/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8"/>
      <c r="AB41" s="68"/>
      <c r="AC41" s="108"/>
      <c r="AD41" s="109">
        <v>41</v>
      </c>
      <c r="AE41" s="156" t="s">
        <v>173</v>
      </c>
      <c r="AF41" s="109" t="s">
        <v>126</v>
      </c>
      <c r="AG41" s="109"/>
      <c r="AH41" s="109"/>
      <c r="AI41" s="140">
        <f>BE41</f>
        <v>0</v>
      </c>
      <c r="AJ41" s="95" t="b">
        <v>0</v>
      </c>
      <c r="AK41" s="96" t="b">
        <v>0</v>
      </c>
      <c r="AL41" s="96" t="b">
        <v>0</v>
      </c>
      <c r="AM41" s="96" t="b">
        <v>0</v>
      </c>
      <c r="AN41" s="95"/>
      <c r="AO41" s="95"/>
      <c r="AP41" s="97">
        <v>16</v>
      </c>
      <c r="AQ41" s="97">
        <v>20</v>
      </c>
      <c r="AR41" s="97">
        <v>22</v>
      </c>
      <c r="AS41" s="79"/>
      <c r="AT41" s="141">
        <f>IF(AK41,AP41,0)</f>
        <v>0</v>
      </c>
      <c r="AU41" s="141">
        <f>IF(AL41,AQ41,0)*AK40</f>
        <v>0</v>
      </c>
      <c r="AV41" s="141">
        <f>IF(AM41,AR41,0)*AK40</f>
        <v>0</v>
      </c>
      <c r="AW41" s="97"/>
      <c r="AX41" s="97"/>
      <c r="AY41" s="97"/>
      <c r="AZ41" s="97"/>
      <c r="BA41" s="97"/>
      <c r="BB41" s="95"/>
      <c r="BC41" s="79">
        <f>AJ41+AK41+AL41+AM41+AN41+AO41</f>
        <v>0</v>
      </c>
      <c r="BD41" s="79" t="s">
        <v>126</v>
      </c>
      <c r="BE41" s="69">
        <f>SUM(AT41:AY41)</f>
        <v>0</v>
      </c>
      <c r="BF41" s="69"/>
      <c r="BG41" s="69"/>
      <c r="BH41" s="69"/>
      <c r="BI41" s="69"/>
      <c r="BJ41" s="69"/>
    </row>
    <row r="42" spans="1:62" ht="22.5" customHeight="1" thickBot="1" x14ac:dyDescent="0.35">
      <c r="A42" s="75"/>
      <c r="B42" s="77"/>
      <c r="C42" s="75"/>
      <c r="D42" s="158"/>
      <c r="E42" s="71"/>
      <c r="F42" s="71"/>
      <c r="G42" s="77"/>
      <c r="H42" s="77"/>
      <c r="I42" s="77"/>
      <c r="J42" s="71"/>
      <c r="K42" s="77"/>
      <c r="L42" s="71"/>
      <c r="M42" s="77"/>
      <c r="N42" s="71"/>
      <c r="O42" s="28"/>
      <c r="P42" s="28"/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8"/>
      <c r="AB42" s="68"/>
      <c r="AC42" s="137" t="s">
        <v>110</v>
      </c>
      <c r="AD42" s="138">
        <v>42</v>
      </c>
      <c r="AE42" s="139" t="s">
        <v>185</v>
      </c>
      <c r="AF42" s="138" t="s">
        <v>128</v>
      </c>
      <c r="AG42" s="138"/>
      <c r="AH42" s="159">
        <v>-3</v>
      </c>
      <c r="AI42" s="140">
        <f>BE42</f>
        <v>0</v>
      </c>
      <c r="AJ42" s="95" t="b">
        <v>0</v>
      </c>
      <c r="AK42" s="96" t="b">
        <v>0</v>
      </c>
      <c r="AL42" s="96" t="b">
        <v>0</v>
      </c>
      <c r="AM42" s="96" t="b">
        <v>0</v>
      </c>
      <c r="AN42" s="96" t="b">
        <v>0</v>
      </c>
      <c r="AO42" s="96" t="b">
        <v>0</v>
      </c>
      <c r="AP42" s="96" t="b">
        <v>0</v>
      </c>
      <c r="AQ42" s="95"/>
      <c r="AR42" s="97"/>
      <c r="AS42" s="79"/>
      <c r="AT42" s="147">
        <f t="shared" ref="AT42:AY42" si="6">IF(AK42,$AH42*AT$14,0)</f>
        <v>0</v>
      </c>
      <c r="AU42" s="147">
        <f t="shared" si="6"/>
        <v>0</v>
      </c>
      <c r="AV42" s="147">
        <f t="shared" si="6"/>
        <v>0</v>
      </c>
      <c r="AW42" s="147">
        <f t="shared" si="6"/>
        <v>0</v>
      </c>
      <c r="AX42" s="147">
        <f t="shared" si="6"/>
        <v>0</v>
      </c>
      <c r="AY42" s="147">
        <f t="shared" si="6"/>
        <v>0</v>
      </c>
      <c r="AZ42" s="97"/>
      <c r="BA42" s="97"/>
      <c r="BB42" s="95"/>
      <c r="BC42" s="79">
        <f>AJ42+AK42+AL42+AM42+AN42+AO42+AP42</f>
        <v>0</v>
      </c>
      <c r="BD42" s="79" t="s">
        <v>128</v>
      </c>
      <c r="BE42" s="69">
        <f>SUM(AT42:AY42)</f>
        <v>0</v>
      </c>
      <c r="BF42" s="69"/>
      <c r="BG42" s="69"/>
      <c r="BH42" s="69"/>
      <c r="BI42" s="69"/>
      <c r="BJ42" s="69"/>
    </row>
    <row r="43" spans="1:62" ht="22.5" customHeight="1" thickBot="1" x14ac:dyDescent="0.35">
      <c r="A43" s="71"/>
      <c r="B43" s="77"/>
      <c r="C43" s="71"/>
      <c r="D43" s="158"/>
      <c r="E43" s="71"/>
      <c r="F43" s="71"/>
      <c r="G43" s="71"/>
      <c r="H43" s="77"/>
      <c r="I43" s="71"/>
      <c r="J43" s="71"/>
      <c r="K43" s="71"/>
      <c r="L43" s="71"/>
      <c r="M43" s="71"/>
      <c r="N43" s="71"/>
      <c r="O43" s="75"/>
      <c r="P43" s="75"/>
      <c r="Q43" s="75"/>
      <c r="R43" s="75"/>
      <c r="S43" s="28"/>
      <c r="T43" s="28"/>
      <c r="U43" s="28"/>
      <c r="V43" s="28"/>
      <c r="W43" s="28"/>
      <c r="X43" s="28"/>
      <c r="Y43" s="28"/>
      <c r="Z43" s="28"/>
      <c r="AA43" s="28"/>
      <c r="AB43" s="68"/>
      <c r="AC43" s="160"/>
      <c r="AD43" s="160"/>
      <c r="AE43" s="160"/>
      <c r="AF43" s="160"/>
      <c r="AG43" s="160"/>
      <c r="AH43" s="160"/>
      <c r="AI43" s="160"/>
      <c r="AJ43" s="160" t="b">
        <v>0</v>
      </c>
      <c r="AK43" s="160"/>
      <c r="AL43" s="160"/>
      <c r="AM43" s="160"/>
      <c r="AN43" s="160"/>
      <c r="AO43" s="160"/>
      <c r="AP43" s="160"/>
      <c r="AQ43" s="160"/>
      <c r="AR43" s="160"/>
      <c r="AS43" s="160"/>
      <c r="AT43" s="160"/>
      <c r="AU43" s="160"/>
      <c r="AV43" s="160"/>
      <c r="AW43" s="160"/>
      <c r="AX43" s="160"/>
      <c r="AY43" s="160"/>
      <c r="AZ43" s="160"/>
      <c r="BA43" s="160"/>
      <c r="BB43" s="160"/>
      <c r="BC43" s="160"/>
      <c r="BD43" s="160"/>
      <c r="BE43" s="160"/>
      <c r="BF43" s="69"/>
      <c r="BG43" s="69"/>
      <c r="BH43" s="69"/>
      <c r="BI43" s="69"/>
      <c r="BJ43" s="69"/>
    </row>
    <row r="44" spans="1:62" ht="24.75" customHeight="1" x14ac:dyDescent="0.3">
      <c r="A44" s="71"/>
      <c r="B44" s="77"/>
      <c r="C44" s="71"/>
      <c r="D44" s="158"/>
      <c r="E44" s="71"/>
      <c r="F44" s="71"/>
      <c r="G44" s="71"/>
      <c r="H44" s="77"/>
      <c r="I44" s="71"/>
      <c r="J44" s="71"/>
      <c r="K44" s="71"/>
      <c r="L44" s="71"/>
      <c r="M44" s="71"/>
      <c r="N44" s="71"/>
      <c r="O44" s="75"/>
      <c r="P44" s="75"/>
      <c r="Q44" s="75"/>
      <c r="R44" s="75"/>
      <c r="S44" s="28"/>
      <c r="T44" s="28"/>
      <c r="U44" s="28"/>
      <c r="V44" s="28"/>
      <c r="W44" s="28"/>
      <c r="X44" s="28"/>
      <c r="Y44" s="28"/>
      <c r="Z44" s="28"/>
      <c r="AA44" s="28"/>
      <c r="AB44" s="68"/>
      <c r="AC44" s="68"/>
      <c r="AD44" s="68"/>
      <c r="AE44" s="68"/>
      <c r="AF44" s="68"/>
      <c r="AG44" s="68"/>
      <c r="AH44" s="68"/>
      <c r="AI44" s="68"/>
      <c r="AJ44" s="68" t="b">
        <v>0</v>
      </c>
      <c r="AK44" s="68"/>
      <c r="AL44" s="68"/>
      <c r="AM44" s="68"/>
      <c r="AN44" s="68"/>
      <c r="AO44" s="68"/>
      <c r="AP44" s="68"/>
      <c r="AQ44" s="68"/>
      <c r="AR44" s="161"/>
      <c r="AS44" s="93"/>
      <c r="AT44" s="161"/>
      <c r="AU44" s="161"/>
      <c r="AV44" s="161"/>
      <c r="AW44" s="161"/>
      <c r="AX44" s="161"/>
      <c r="AY44" s="161"/>
      <c r="AZ44" s="161"/>
      <c r="BA44" s="161"/>
      <c r="BB44" s="122"/>
      <c r="BC44" s="93"/>
      <c r="BD44" s="162"/>
      <c r="BE44" s="69"/>
      <c r="BF44" s="69"/>
      <c r="BG44" s="69"/>
      <c r="BH44" s="69"/>
      <c r="BI44" s="69"/>
      <c r="BJ44" s="69"/>
    </row>
    <row r="45" spans="1:62" ht="24.75" customHeight="1" x14ac:dyDescent="0.2">
      <c r="A45" s="71"/>
      <c r="B45" s="77"/>
      <c r="C45" s="71"/>
      <c r="D45" s="71"/>
      <c r="E45" s="71"/>
      <c r="F45" s="71"/>
      <c r="G45" s="71"/>
      <c r="H45" s="77"/>
      <c r="I45" s="71"/>
      <c r="J45" s="71"/>
      <c r="K45" s="71"/>
      <c r="L45" s="71"/>
      <c r="M45" s="71"/>
      <c r="N45" s="71"/>
      <c r="O45" s="75"/>
      <c r="P45" s="75"/>
      <c r="Q45" s="75"/>
      <c r="R45" s="75"/>
      <c r="S45" s="28"/>
      <c r="T45" s="28"/>
      <c r="U45" s="28"/>
      <c r="V45" s="28"/>
      <c r="W45" s="28"/>
      <c r="X45" s="28"/>
      <c r="Y45" s="28"/>
      <c r="Z45" s="28"/>
      <c r="AA45" s="28"/>
      <c r="AB45" s="68"/>
      <c r="AC45" s="68"/>
      <c r="AD45" s="68"/>
      <c r="AE45" s="68"/>
      <c r="AF45" s="68"/>
      <c r="AG45" s="68"/>
      <c r="AH45" s="68"/>
      <c r="AI45" s="68"/>
      <c r="AJ45" s="68" t="b">
        <v>0</v>
      </c>
      <c r="AK45" s="68"/>
      <c r="AL45" s="68">
        <f>AK25+AK26</f>
        <v>0</v>
      </c>
      <c r="AM45" s="68"/>
      <c r="AN45" s="68"/>
      <c r="AO45" s="68"/>
      <c r="AP45" s="68"/>
      <c r="AQ45" s="68"/>
      <c r="AR45" s="97"/>
      <c r="AS45" s="79"/>
      <c r="AT45" s="97"/>
      <c r="AU45" s="97"/>
      <c r="AV45" s="97"/>
      <c r="AW45" s="97"/>
      <c r="AX45" s="97"/>
      <c r="AY45" s="97"/>
      <c r="AZ45" s="97"/>
      <c r="BA45" s="97"/>
      <c r="BB45" s="95"/>
      <c r="BC45" s="79"/>
      <c r="BD45" s="163"/>
      <c r="BE45" s="69"/>
      <c r="BF45" s="69"/>
      <c r="BG45" s="69"/>
      <c r="BH45" s="69"/>
      <c r="BI45" s="69"/>
      <c r="BJ45" s="69"/>
    </row>
    <row r="46" spans="1:62" ht="24.75" customHeight="1" thickBot="1" x14ac:dyDescent="0.3">
      <c r="A46" s="71"/>
      <c r="B46" s="77"/>
      <c r="C46" s="71"/>
      <c r="D46" s="71"/>
      <c r="E46" s="71"/>
      <c r="F46" s="71"/>
      <c r="G46" s="71"/>
      <c r="H46" s="164"/>
      <c r="I46" s="100"/>
      <c r="J46" s="71"/>
      <c r="K46" s="71"/>
      <c r="L46" s="71"/>
      <c r="M46" s="151"/>
      <c r="N46" s="75"/>
      <c r="O46" s="75"/>
      <c r="P46" s="75"/>
      <c r="Q46" s="75"/>
      <c r="R46" s="75"/>
      <c r="S46" s="28"/>
      <c r="T46" s="28"/>
      <c r="U46" s="28"/>
      <c r="V46" s="28"/>
      <c r="W46" s="28"/>
      <c r="X46" s="28"/>
      <c r="Y46" s="28"/>
      <c r="Z46" s="28"/>
      <c r="AA46" s="28"/>
      <c r="AB46" s="68"/>
      <c r="AC46" s="68"/>
      <c r="AD46" s="68"/>
      <c r="AE46" s="68"/>
      <c r="AF46" s="68"/>
      <c r="AG46" s="68"/>
      <c r="AH46" s="68"/>
      <c r="AI46" s="68"/>
      <c r="AJ46" s="68" t="b">
        <v>0</v>
      </c>
      <c r="AK46" s="68"/>
      <c r="AL46" s="68"/>
      <c r="AM46" s="68"/>
      <c r="AN46" s="68"/>
      <c r="AO46" s="68"/>
      <c r="AP46" s="68"/>
      <c r="AQ46" s="68"/>
      <c r="AR46" s="97"/>
      <c r="AS46" s="79"/>
      <c r="AT46" s="97"/>
      <c r="AU46" s="97"/>
      <c r="AV46" s="97"/>
      <c r="AW46" s="97"/>
      <c r="AX46" s="97"/>
      <c r="AY46" s="97"/>
      <c r="AZ46" s="97"/>
      <c r="BA46" s="97"/>
      <c r="BB46" s="95"/>
      <c r="BC46" s="79"/>
      <c r="BD46" s="163"/>
      <c r="BE46" s="69"/>
      <c r="BF46" s="69"/>
      <c r="BG46" s="69"/>
      <c r="BH46" s="69"/>
      <c r="BI46" s="69"/>
      <c r="BJ46" s="69"/>
    </row>
    <row r="47" spans="1:62" ht="24.75" customHeight="1" thickBot="1" x14ac:dyDescent="0.3">
      <c r="A47" s="71"/>
      <c r="B47" s="77"/>
      <c r="C47" s="71"/>
      <c r="D47" s="71"/>
      <c r="E47" s="71"/>
      <c r="F47" s="71"/>
      <c r="G47" s="71"/>
      <c r="H47" s="164"/>
      <c r="I47" s="100"/>
      <c r="J47" s="71"/>
      <c r="K47" s="71"/>
      <c r="L47" s="71"/>
      <c r="M47" s="151"/>
      <c r="N47" s="75"/>
      <c r="O47" s="75"/>
      <c r="P47" s="75"/>
      <c r="Q47" s="75"/>
      <c r="R47" s="75"/>
      <c r="S47" s="28"/>
      <c r="T47" s="28"/>
      <c r="U47" s="28"/>
      <c r="V47" s="28"/>
      <c r="W47" s="28" t="s">
        <v>28</v>
      </c>
      <c r="X47" s="61">
        <v>4</v>
      </c>
      <c r="Y47" s="28"/>
      <c r="Z47" s="28"/>
      <c r="AA47" s="28"/>
      <c r="AB47" s="68"/>
      <c r="AC47" s="68"/>
      <c r="AD47" s="68"/>
      <c r="AE47" s="68"/>
      <c r="AF47" s="68"/>
      <c r="AG47" s="68"/>
      <c r="AH47" s="68"/>
      <c r="AI47" s="68"/>
      <c r="AJ47" s="68" t="b">
        <v>0</v>
      </c>
      <c r="AK47" s="68"/>
      <c r="AL47" s="68"/>
      <c r="AM47" s="68"/>
      <c r="AN47" s="68"/>
      <c r="AO47" s="68"/>
      <c r="AP47" s="68"/>
      <c r="AQ47" s="68"/>
      <c r="AR47" s="97"/>
      <c r="AS47" s="79"/>
      <c r="AT47" s="97"/>
      <c r="AU47" s="97"/>
      <c r="AV47" s="97"/>
      <c r="AW47" s="97"/>
      <c r="AX47" s="97"/>
      <c r="AY47" s="97"/>
      <c r="AZ47" s="97"/>
      <c r="BA47" s="97"/>
      <c r="BB47" s="95"/>
      <c r="BC47" s="79"/>
      <c r="BD47" s="163"/>
      <c r="BE47" s="69"/>
      <c r="BF47" s="69"/>
      <c r="BG47" s="69"/>
      <c r="BH47" s="69"/>
      <c r="BI47" s="69"/>
      <c r="BJ47" s="69"/>
    </row>
    <row r="48" spans="1:62" ht="24.75" customHeight="1" thickBot="1" x14ac:dyDescent="0.3">
      <c r="A48" s="71"/>
      <c r="B48" s="77"/>
      <c r="C48" s="71"/>
      <c r="D48" s="71"/>
      <c r="E48" s="71"/>
      <c r="F48" s="71"/>
      <c r="G48" s="71"/>
      <c r="H48" s="164"/>
      <c r="I48" s="100"/>
      <c r="J48" s="71"/>
      <c r="K48" s="71"/>
      <c r="L48" s="71"/>
      <c r="M48" s="151"/>
      <c r="N48" s="75"/>
      <c r="O48" s="75"/>
      <c r="P48" s="75"/>
      <c r="Q48" s="75"/>
      <c r="R48" s="75"/>
      <c r="S48" s="28"/>
      <c r="T48" s="28"/>
      <c r="U48" s="28"/>
      <c r="V48" s="28"/>
      <c r="W48" s="28"/>
      <c r="X48" s="63" t="s">
        <v>33</v>
      </c>
      <c r="Y48" s="28"/>
      <c r="Z48" s="28"/>
      <c r="AA48" s="28" t="s">
        <v>130</v>
      </c>
      <c r="AB48" s="62">
        <v>29</v>
      </c>
      <c r="AC48" s="68"/>
      <c r="AD48" s="68"/>
      <c r="AE48" s="68"/>
      <c r="AF48" s="68"/>
      <c r="AG48" s="68"/>
      <c r="AH48" s="68"/>
      <c r="AI48" s="68"/>
      <c r="AJ48" s="68" t="b">
        <v>0</v>
      </c>
      <c r="AK48" s="68"/>
      <c r="AL48" s="68"/>
      <c r="AM48" s="68"/>
      <c r="AN48" s="68"/>
      <c r="AO48" s="68"/>
      <c r="AP48" s="68"/>
      <c r="AQ48" s="68"/>
      <c r="AR48" s="97"/>
      <c r="AS48" s="79"/>
      <c r="AT48" s="97"/>
      <c r="AU48" s="97"/>
      <c r="AV48" s="97"/>
      <c r="AW48" s="97"/>
      <c r="AX48" s="97"/>
      <c r="AY48" s="97"/>
      <c r="AZ48" s="97"/>
      <c r="BA48" s="97"/>
      <c r="BB48" s="95"/>
      <c r="BC48" s="79"/>
      <c r="BD48" s="163"/>
      <c r="BE48" s="69"/>
      <c r="BF48" s="69"/>
      <c r="BG48" s="69"/>
      <c r="BH48" s="69"/>
      <c r="BI48" s="69"/>
      <c r="BJ48" s="69"/>
    </row>
    <row r="49" spans="1:62" ht="24.75" customHeight="1" x14ac:dyDescent="0.25">
      <c r="A49" s="71"/>
      <c r="B49" s="77"/>
      <c r="C49" s="71"/>
      <c r="D49" s="71"/>
      <c r="E49" s="71"/>
      <c r="F49" s="71"/>
      <c r="G49" s="71"/>
      <c r="H49" s="164"/>
      <c r="I49" s="100"/>
      <c r="J49" s="71"/>
      <c r="K49" s="71"/>
      <c r="L49" s="71"/>
      <c r="M49" s="151"/>
      <c r="N49" s="75"/>
      <c r="O49" s="75"/>
      <c r="P49" s="75"/>
      <c r="Q49" s="75"/>
      <c r="R49" s="75"/>
      <c r="S49" s="28"/>
      <c r="T49" s="28"/>
      <c r="U49" s="28"/>
      <c r="V49" s="28"/>
      <c r="W49" s="28"/>
      <c r="X49" s="63">
        <v>1</v>
      </c>
      <c r="Y49" s="28"/>
      <c r="Z49" s="28"/>
      <c r="AA49" s="28"/>
      <c r="AB49" s="68"/>
      <c r="AC49" s="68"/>
      <c r="AD49" s="68"/>
      <c r="AE49" s="68"/>
      <c r="AF49" s="68"/>
      <c r="AG49" s="68"/>
      <c r="AH49" s="68"/>
      <c r="AI49" s="68"/>
      <c r="AJ49" s="68" t="b">
        <v>0</v>
      </c>
      <c r="AK49" s="68"/>
      <c r="AL49" s="68"/>
      <c r="AM49" s="68"/>
      <c r="AN49" s="68"/>
      <c r="AO49" s="68"/>
      <c r="AP49" s="68"/>
      <c r="AQ49" s="68"/>
      <c r="AR49" s="97"/>
      <c r="AS49" s="79"/>
      <c r="AT49" s="97"/>
      <c r="AU49" s="97"/>
      <c r="AV49" s="97"/>
      <c r="AW49" s="97"/>
      <c r="AX49" s="97"/>
      <c r="AY49" s="97"/>
      <c r="AZ49" s="97"/>
      <c r="BA49" s="97"/>
      <c r="BB49" s="95"/>
      <c r="BC49" s="79"/>
      <c r="BD49" s="163"/>
      <c r="BE49" s="69"/>
      <c r="BF49" s="69"/>
      <c r="BG49" s="69"/>
      <c r="BH49" s="69"/>
      <c r="BI49" s="69"/>
      <c r="BJ49" s="69"/>
    </row>
    <row r="50" spans="1:62" ht="24.75" customHeight="1" x14ac:dyDescent="0.25">
      <c r="A50" s="71"/>
      <c r="B50" s="77"/>
      <c r="C50" s="71"/>
      <c r="D50" s="71"/>
      <c r="E50" s="71"/>
      <c r="F50" s="71"/>
      <c r="G50" s="71"/>
      <c r="H50" s="164"/>
      <c r="I50" s="100"/>
      <c r="J50" s="71"/>
      <c r="K50" s="71"/>
      <c r="L50" s="71"/>
      <c r="M50" s="151"/>
      <c r="N50" s="75"/>
      <c r="O50" s="75"/>
      <c r="P50" s="75"/>
      <c r="Q50" s="75"/>
      <c r="R50" s="75"/>
      <c r="S50" s="28"/>
      <c r="T50" s="28"/>
      <c r="U50" s="28"/>
      <c r="V50" s="28"/>
      <c r="W50" s="28"/>
      <c r="X50" s="63">
        <v>2</v>
      </c>
      <c r="Y50" s="28"/>
      <c r="Z50" s="28"/>
      <c r="AA50" s="28"/>
      <c r="AB50" s="68"/>
      <c r="AC50" s="68"/>
      <c r="AD50" s="68"/>
      <c r="AE50" s="68"/>
      <c r="AF50" s="68"/>
      <c r="AG50" s="68"/>
      <c r="AH50" s="68"/>
      <c r="AI50" s="68"/>
      <c r="AJ50" s="68" t="b">
        <v>0</v>
      </c>
      <c r="AK50" s="68"/>
      <c r="AL50" s="68"/>
      <c r="AM50" s="68"/>
      <c r="AN50" s="68"/>
      <c r="AO50" s="68"/>
      <c r="AP50" s="68"/>
      <c r="AQ50" s="68"/>
      <c r="AR50" s="97"/>
      <c r="AS50" s="79"/>
      <c r="AT50" s="97"/>
      <c r="AU50" s="97"/>
      <c r="AV50" s="97"/>
      <c r="AW50" s="97"/>
      <c r="AX50" s="97"/>
      <c r="AY50" s="97"/>
      <c r="AZ50" s="97"/>
      <c r="BA50" s="97"/>
      <c r="BB50" s="95"/>
      <c r="BC50" s="79"/>
      <c r="BD50" s="163"/>
      <c r="BE50" s="69"/>
      <c r="BF50" s="69"/>
      <c r="BG50" s="69"/>
      <c r="BH50" s="69"/>
      <c r="BI50" s="69"/>
      <c r="BJ50" s="69"/>
    </row>
    <row r="51" spans="1:62" ht="24.75" customHeight="1" x14ac:dyDescent="0.25">
      <c r="A51" s="71"/>
      <c r="B51" s="77"/>
      <c r="C51" s="71"/>
      <c r="D51" s="71"/>
      <c r="E51" s="71"/>
      <c r="F51" s="71"/>
      <c r="G51" s="71"/>
      <c r="H51" s="164"/>
      <c r="I51" s="100"/>
      <c r="J51" s="71"/>
      <c r="K51" s="71"/>
      <c r="L51" s="71"/>
      <c r="M51" s="151"/>
      <c r="N51" s="75"/>
      <c r="O51" s="75"/>
      <c r="P51" s="75"/>
      <c r="Q51" s="75"/>
      <c r="R51" s="75"/>
      <c r="S51" s="28"/>
      <c r="T51" s="28"/>
      <c r="U51" s="28"/>
      <c r="V51" s="28"/>
      <c r="W51" s="28"/>
      <c r="X51" s="63">
        <v>3</v>
      </c>
      <c r="Y51" s="28"/>
      <c r="Z51" s="28"/>
      <c r="AA51" s="28"/>
      <c r="AB51" s="68"/>
      <c r="AC51" s="68"/>
      <c r="AD51" s="68"/>
      <c r="AE51" s="68"/>
      <c r="AF51" s="68"/>
      <c r="AG51" s="68"/>
      <c r="AH51" s="68"/>
      <c r="AI51" s="68"/>
      <c r="AJ51" s="68" t="b">
        <v>0</v>
      </c>
      <c r="AK51" s="68"/>
      <c r="AL51" s="68"/>
      <c r="AM51" s="68"/>
      <c r="AN51" s="68"/>
      <c r="AO51" s="68"/>
      <c r="AP51" s="68"/>
      <c r="AQ51" s="68"/>
      <c r="AR51" s="97"/>
      <c r="AS51" s="79"/>
      <c r="AT51" s="97"/>
      <c r="AU51" s="97"/>
      <c r="AV51" s="97"/>
      <c r="AW51" s="97"/>
      <c r="AX51" s="97"/>
      <c r="AY51" s="97"/>
      <c r="AZ51" s="97"/>
      <c r="BA51" s="97"/>
      <c r="BB51" s="95"/>
      <c r="BC51" s="79"/>
      <c r="BD51" s="163"/>
      <c r="BE51" s="69"/>
      <c r="BF51" s="69"/>
      <c r="BG51" s="69"/>
      <c r="BH51" s="69"/>
      <c r="BI51" s="69"/>
      <c r="BJ51" s="69"/>
    </row>
    <row r="52" spans="1:62" ht="24.75" customHeight="1" x14ac:dyDescent="0.25">
      <c r="A52" s="71"/>
      <c r="B52" s="77"/>
      <c r="C52" s="71"/>
      <c r="D52" s="71"/>
      <c r="E52" s="71"/>
      <c r="F52" s="71"/>
      <c r="G52" s="71"/>
      <c r="H52" s="164"/>
      <c r="I52" s="100"/>
      <c r="J52" s="71"/>
      <c r="K52" s="71"/>
      <c r="L52" s="71"/>
      <c r="M52" s="151"/>
      <c r="N52" s="75"/>
      <c r="O52" s="75"/>
      <c r="P52" s="75"/>
      <c r="Q52" s="75"/>
      <c r="R52" s="75"/>
      <c r="S52" s="28"/>
      <c r="T52" s="28"/>
      <c r="U52" s="28"/>
      <c r="V52" s="28"/>
      <c r="W52" s="28"/>
      <c r="X52" s="28"/>
      <c r="Y52" s="28"/>
      <c r="Z52" s="28"/>
      <c r="AA52" s="28"/>
      <c r="AB52" s="68"/>
      <c r="AC52" s="68"/>
      <c r="AD52" s="68"/>
      <c r="AE52" s="68"/>
      <c r="AF52" s="68"/>
      <c r="AG52" s="68"/>
      <c r="AH52" s="68"/>
      <c r="AI52" s="68"/>
      <c r="AJ52" s="68" t="b">
        <v>0</v>
      </c>
      <c r="AK52" s="68"/>
      <c r="AL52" s="68"/>
      <c r="AM52" s="68"/>
      <c r="AN52" s="68"/>
      <c r="AO52" s="68"/>
      <c r="AP52" s="68"/>
      <c r="AQ52" s="68"/>
      <c r="AR52" s="97"/>
      <c r="AS52" s="79"/>
      <c r="AT52" s="97"/>
      <c r="AU52" s="97"/>
      <c r="AV52" s="97"/>
      <c r="AW52" s="97"/>
      <c r="AX52" s="97"/>
      <c r="AY52" s="97"/>
      <c r="AZ52" s="97"/>
      <c r="BA52" s="97"/>
      <c r="BB52" s="95"/>
      <c r="BC52" s="79"/>
      <c r="BD52" s="163"/>
      <c r="BE52" s="69"/>
      <c r="BF52" s="69"/>
      <c r="BG52" s="69"/>
      <c r="BH52" s="69"/>
      <c r="BI52" s="69"/>
      <c r="BJ52" s="69"/>
    </row>
    <row r="53" spans="1:62" ht="24.75" customHeight="1" thickBot="1" x14ac:dyDescent="0.3">
      <c r="A53" s="71"/>
      <c r="B53" s="77"/>
      <c r="C53" s="71"/>
      <c r="D53" s="71"/>
      <c r="E53" s="71"/>
      <c r="F53" s="71"/>
      <c r="G53" s="100"/>
      <c r="H53" s="77"/>
      <c r="I53" s="71"/>
      <c r="J53" s="71"/>
      <c r="K53" s="71"/>
      <c r="L53" s="71"/>
      <c r="M53" s="151"/>
      <c r="N53" s="75"/>
      <c r="O53" s="75"/>
      <c r="P53" s="75"/>
      <c r="Q53" s="75"/>
      <c r="R53" s="75"/>
      <c r="S53" s="28"/>
      <c r="T53" s="28"/>
      <c r="U53" s="28"/>
      <c r="V53" s="28"/>
      <c r="W53" s="28"/>
      <c r="X53" s="28"/>
      <c r="Y53" s="28"/>
      <c r="Z53" s="28"/>
      <c r="AA53" s="28"/>
      <c r="AB53" s="68"/>
      <c r="AC53" s="68"/>
      <c r="AD53" s="68"/>
      <c r="AE53" s="68"/>
      <c r="AF53" s="68"/>
      <c r="AG53" s="68"/>
      <c r="AH53" s="68"/>
      <c r="AI53" s="68"/>
      <c r="AJ53" s="68" t="b">
        <v>0</v>
      </c>
      <c r="AK53" s="68"/>
      <c r="AL53" s="68"/>
      <c r="AM53" s="68"/>
      <c r="AN53" s="68"/>
      <c r="AO53" s="68"/>
      <c r="AP53" s="68"/>
      <c r="AQ53" s="68"/>
      <c r="AR53" s="165"/>
      <c r="AS53" s="109"/>
      <c r="AT53" s="166"/>
      <c r="AU53" s="166"/>
      <c r="AV53" s="166"/>
      <c r="AW53" s="166"/>
      <c r="AX53" s="166"/>
      <c r="AY53" s="165"/>
      <c r="AZ53" s="165"/>
      <c r="BA53" s="165"/>
      <c r="BB53" s="125"/>
      <c r="BC53" s="109"/>
      <c r="BD53" s="167"/>
      <c r="BE53" s="69">
        <f>SUM(AT53:BA53)</f>
        <v>0</v>
      </c>
      <c r="BF53" s="69"/>
      <c r="BG53" s="69"/>
      <c r="BH53" s="69"/>
      <c r="BI53" s="69"/>
      <c r="BJ53" s="69"/>
    </row>
    <row r="54" spans="1:62" ht="24.75" customHeight="1" x14ac:dyDescent="0.25">
      <c r="A54" s="71"/>
      <c r="B54" s="77"/>
      <c r="C54" s="71"/>
      <c r="D54" s="71"/>
      <c r="E54" s="71"/>
      <c r="F54" s="71"/>
      <c r="G54" s="100"/>
      <c r="H54" s="77"/>
      <c r="I54" s="71"/>
      <c r="J54" s="71"/>
      <c r="K54" s="71"/>
      <c r="L54" s="71"/>
      <c r="M54" s="151"/>
      <c r="N54" s="75"/>
      <c r="O54" s="75"/>
      <c r="P54" s="75"/>
      <c r="Q54" s="75"/>
      <c r="R54" s="75"/>
      <c r="S54" s="28"/>
      <c r="T54" s="28"/>
      <c r="U54" s="28"/>
      <c r="V54" s="28"/>
      <c r="W54" s="28"/>
      <c r="X54" s="28"/>
      <c r="Y54" s="28"/>
      <c r="Z54" s="28"/>
      <c r="AA54" s="28"/>
      <c r="AB54" s="68"/>
      <c r="AC54" s="68"/>
      <c r="AD54" s="68"/>
      <c r="AS54" s="79"/>
      <c r="BC54" s="69"/>
      <c r="BD54" s="69"/>
      <c r="BE54" s="69"/>
      <c r="BF54" s="69"/>
    </row>
    <row r="55" spans="1:62" ht="24.75" customHeight="1" thickBot="1" x14ac:dyDescent="0.3">
      <c r="A55" s="71"/>
      <c r="B55" s="77"/>
      <c r="C55" s="75"/>
      <c r="D55" s="71"/>
      <c r="E55" s="71"/>
      <c r="F55" s="71"/>
      <c r="G55" s="100"/>
      <c r="H55" s="77"/>
      <c r="I55" s="71"/>
      <c r="J55" s="71"/>
      <c r="K55" s="71"/>
      <c r="L55" s="71"/>
      <c r="M55" s="151"/>
      <c r="N55" s="75"/>
      <c r="O55" s="75"/>
      <c r="P55" s="75"/>
      <c r="Q55" s="75"/>
      <c r="R55" s="75"/>
      <c r="S55" s="28"/>
      <c r="T55" s="28"/>
      <c r="U55" s="28"/>
      <c r="V55" s="28"/>
      <c r="W55" s="28"/>
      <c r="X55" s="28"/>
      <c r="Y55" s="28"/>
      <c r="Z55" s="28"/>
      <c r="AA55" s="28"/>
      <c r="AB55" s="68"/>
      <c r="AC55" s="68"/>
      <c r="AD55" s="68"/>
      <c r="AJ55" s="69">
        <f>AJ48+AJ49</f>
        <v>0</v>
      </c>
      <c r="AK55" s="69">
        <f>AK48+AK49</f>
        <v>0</v>
      </c>
      <c r="AS55" s="79"/>
      <c r="BC55" s="69"/>
      <c r="BD55" s="69"/>
      <c r="BE55" s="69"/>
      <c r="BF55" s="69"/>
    </row>
    <row r="56" spans="1:62" ht="24.75" customHeight="1" thickBot="1" x14ac:dyDescent="0.3">
      <c r="A56" s="75"/>
      <c r="B56" s="77"/>
      <c r="C56" s="75"/>
      <c r="D56" s="71"/>
      <c r="E56" s="71"/>
      <c r="F56" s="71"/>
      <c r="G56" s="100"/>
      <c r="H56" s="77"/>
      <c r="I56" s="71"/>
      <c r="J56" s="71"/>
      <c r="K56" s="71"/>
      <c r="L56" s="71"/>
      <c r="M56" s="151"/>
      <c r="N56" s="75"/>
      <c r="O56" s="75"/>
      <c r="P56" s="75"/>
      <c r="Q56" s="75"/>
      <c r="R56" s="75"/>
      <c r="S56" s="28"/>
      <c r="T56" s="28"/>
      <c r="U56" s="28"/>
      <c r="V56" s="28"/>
      <c r="W56" s="28"/>
      <c r="X56" s="28"/>
      <c r="Y56" s="28"/>
      <c r="Z56" s="28"/>
      <c r="AA56" s="28"/>
      <c r="AB56" s="68"/>
      <c r="AC56" s="68"/>
      <c r="AD56" s="68"/>
      <c r="AH56" s="72" t="s">
        <v>65</v>
      </c>
      <c r="AI56" s="168">
        <f>SUM(AI15:AI43)</f>
        <v>0</v>
      </c>
      <c r="BC56" s="69"/>
      <c r="BD56" s="69"/>
      <c r="BE56" s="69"/>
      <c r="BF56" s="69"/>
    </row>
    <row r="57" spans="1:62" ht="24.75" customHeight="1" x14ac:dyDescent="0.25">
      <c r="A57" s="75"/>
      <c r="B57" s="77"/>
      <c r="C57" s="75"/>
      <c r="D57" s="71"/>
      <c r="E57" s="71"/>
      <c r="F57" s="71"/>
      <c r="G57" s="100"/>
      <c r="H57" s="77"/>
      <c r="I57" s="71"/>
      <c r="J57" s="71"/>
      <c r="K57" s="71"/>
      <c r="L57" s="71"/>
      <c r="M57" s="151"/>
      <c r="N57" s="75"/>
      <c r="O57" s="75"/>
      <c r="P57" s="75"/>
      <c r="Q57" s="75"/>
      <c r="R57" s="75"/>
      <c r="S57" s="28"/>
      <c r="T57" s="28"/>
      <c r="U57" s="28"/>
      <c r="V57" s="28"/>
      <c r="W57" s="28"/>
      <c r="X57" s="28"/>
      <c r="Y57" s="28"/>
      <c r="Z57" s="28"/>
      <c r="AA57" s="28"/>
      <c r="AB57" s="68"/>
      <c r="AC57" s="68"/>
      <c r="AD57" s="68"/>
    </row>
    <row r="58" spans="1:62" ht="24.75" customHeight="1" x14ac:dyDescent="0.25">
      <c r="A58" s="75"/>
      <c r="B58" s="77"/>
      <c r="C58" s="75"/>
      <c r="D58" s="71"/>
      <c r="E58" s="71"/>
      <c r="F58" s="71"/>
      <c r="G58" s="100"/>
      <c r="H58" s="77"/>
      <c r="I58" s="71"/>
      <c r="J58" s="71"/>
      <c r="K58" s="71"/>
      <c r="L58" s="71"/>
      <c r="M58" s="151"/>
      <c r="N58" s="75"/>
      <c r="O58" s="75"/>
      <c r="P58" s="75"/>
      <c r="Q58" s="75"/>
      <c r="R58" s="75"/>
      <c r="S58" s="28"/>
      <c r="T58" s="28"/>
      <c r="U58" s="28"/>
      <c r="V58" s="28"/>
      <c r="W58" s="28"/>
      <c r="X58" s="28"/>
      <c r="Y58" s="28"/>
      <c r="Z58" s="28"/>
      <c r="AA58" s="28"/>
      <c r="AB58" s="68"/>
      <c r="AC58" s="68"/>
      <c r="AD58" s="68"/>
    </row>
    <row r="59" spans="1:62" ht="24.75" customHeight="1" thickBot="1" x14ac:dyDescent="0.3">
      <c r="A59" s="75"/>
      <c r="B59" s="81"/>
      <c r="C59" s="75"/>
      <c r="D59" s="71"/>
      <c r="E59" s="71"/>
      <c r="F59" s="71"/>
      <c r="G59" s="100"/>
      <c r="H59" s="77"/>
      <c r="I59" s="71"/>
      <c r="J59" s="71"/>
      <c r="K59" s="71"/>
      <c r="L59" s="71"/>
      <c r="M59" s="151"/>
      <c r="N59" s="75"/>
      <c r="O59" s="75"/>
      <c r="P59" s="75"/>
      <c r="Q59" s="75"/>
      <c r="R59" s="75"/>
      <c r="S59" s="28"/>
      <c r="T59" s="28"/>
      <c r="U59" s="28"/>
      <c r="V59" s="28"/>
      <c r="W59" s="28"/>
      <c r="X59" s="28"/>
      <c r="Y59" s="28"/>
      <c r="Z59" s="28"/>
      <c r="AA59" s="28"/>
      <c r="AB59" s="68"/>
      <c r="AC59" s="68"/>
      <c r="AD59" s="68"/>
    </row>
    <row r="60" spans="1:62" ht="24.75" customHeight="1" thickBot="1" x14ac:dyDescent="0.3">
      <c r="A60" s="75"/>
      <c r="B60" s="77"/>
      <c r="C60" s="75"/>
      <c r="D60" s="71"/>
      <c r="E60" s="71"/>
      <c r="F60" s="71"/>
      <c r="G60" s="100"/>
      <c r="H60" s="77"/>
      <c r="I60" s="71"/>
      <c r="J60" s="71"/>
      <c r="K60" s="71"/>
      <c r="L60" s="71"/>
      <c r="M60" s="151"/>
      <c r="N60" s="75"/>
      <c r="O60" s="75"/>
      <c r="P60" s="75"/>
      <c r="Q60" s="75"/>
      <c r="R60" s="75"/>
      <c r="S60" s="28"/>
      <c r="T60" s="28"/>
      <c r="U60" s="28"/>
      <c r="V60" s="28"/>
      <c r="W60" s="28"/>
      <c r="X60" s="28"/>
      <c r="Y60" s="28"/>
      <c r="Z60" s="28"/>
      <c r="AA60" s="28"/>
      <c r="AB60" s="68"/>
      <c r="AC60" s="68"/>
      <c r="AD60" s="68"/>
      <c r="AJ60" s="169" t="s">
        <v>69</v>
      </c>
      <c r="AK60" s="170"/>
      <c r="AL60" s="170" t="s">
        <v>70</v>
      </c>
      <c r="AM60" s="170"/>
      <c r="AN60" s="170"/>
      <c r="AO60" s="171"/>
    </row>
    <row r="61" spans="1:62" ht="24.75" customHeight="1" x14ac:dyDescent="0.25">
      <c r="A61" s="75"/>
      <c r="B61" s="77"/>
      <c r="C61" s="75"/>
      <c r="D61" s="71"/>
      <c r="E61" s="71"/>
      <c r="F61" s="71"/>
      <c r="G61" s="100"/>
      <c r="H61" s="77"/>
      <c r="I61" s="71"/>
      <c r="J61" s="71"/>
      <c r="K61" s="71"/>
      <c r="L61" s="71"/>
      <c r="M61" s="75"/>
      <c r="N61" s="75"/>
      <c r="O61" s="75"/>
      <c r="P61" s="75"/>
      <c r="Q61" s="75"/>
      <c r="R61" s="75"/>
      <c r="S61" s="28"/>
      <c r="T61" s="28"/>
      <c r="U61" s="28"/>
      <c r="V61" s="28"/>
      <c r="W61" s="28"/>
      <c r="X61" s="28"/>
      <c r="Y61" s="28"/>
      <c r="Z61" s="28"/>
      <c r="AA61" s="28"/>
      <c r="AB61" s="68"/>
      <c r="AC61" s="68"/>
      <c r="AD61" s="68"/>
      <c r="AJ61" s="172" t="str">
        <f>IF(SUM(BC15:BC50)&lt;24,"Missing Input",Total_Score)</f>
        <v>Missing Input</v>
      </c>
      <c r="AL61" s="173" t="s">
        <v>67</v>
      </c>
    </row>
    <row r="62" spans="1:62" ht="24.75" customHeight="1" x14ac:dyDescent="0.25">
      <c r="A62" s="75"/>
      <c r="B62" s="77"/>
      <c r="C62" s="75"/>
      <c r="D62" s="71"/>
      <c r="E62" s="71"/>
      <c r="F62" s="71"/>
      <c r="G62" s="100"/>
      <c r="H62" s="77"/>
      <c r="I62" s="71"/>
      <c r="J62" s="71"/>
      <c r="K62" s="71"/>
      <c r="L62" s="71"/>
      <c r="M62" s="75"/>
      <c r="N62" s="75"/>
      <c r="O62" s="75"/>
      <c r="P62" s="75"/>
      <c r="Q62" s="75"/>
      <c r="R62" s="75"/>
      <c r="S62" s="28"/>
      <c r="T62" s="28"/>
      <c r="U62" s="28"/>
      <c r="V62" s="28"/>
      <c r="W62" s="28"/>
      <c r="X62" s="28"/>
      <c r="Y62" s="28"/>
      <c r="Z62" s="28"/>
      <c r="AA62" s="28"/>
      <c r="AB62" s="68"/>
      <c r="AC62" s="68"/>
      <c r="AD62" s="68"/>
      <c r="AJ62" s="69">
        <f>IF(SUM(AI27:AI28)&gt;65,"Car selected twice",Total_Score)</f>
        <v>0</v>
      </c>
      <c r="AL62" s="69" t="s">
        <v>104</v>
      </c>
    </row>
    <row r="63" spans="1:62" ht="24.75" customHeight="1" thickBot="1" x14ac:dyDescent="0.3">
      <c r="A63" s="75"/>
      <c r="B63" s="77"/>
      <c r="C63" s="75"/>
      <c r="D63" s="71"/>
      <c r="E63" s="71"/>
      <c r="F63" s="71"/>
      <c r="G63" s="100"/>
      <c r="H63" s="77"/>
      <c r="I63" s="71"/>
      <c r="J63" s="71"/>
      <c r="K63" s="71"/>
      <c r="L63" s="71"/>
      <c r="M63" s="75"/>
      <c r="N63" s="75"/>
      <c r="O63" s="75"/>
      <c r="P63" s="75"/>
      <c r="Q63" s="75"/>
      <c r="R63" s="75"/>
      <c r="S63" s="28"/>
      <c r="T63" s="28"/>
      <c r="U63" s="28"/>
      <c r="V63" s="28"/>
      <c r="W63" s="28"/>
      <c r="X63" s="28"/>
      <c r="Y63" s="28"/>
      <c r="Z63" s="28"/>
      <c r="AA63" s="28"/>
      <c r="AB63" s="68"/>
      <c r="AC63" s="68"/>
      <c r="AD63" s="68"/>
      <c r="AL63" s="69" t="s">
        <v>105</v>
      </c>
      <c r="AT63" s="69" t="s">
        <v>66</v>
      </c>
    </row>
    <row r="64" spans="1:62" ht="24.75" customHeight="1" x14ac:dyDescent="0.25">
      <c r="A64" s="75"/>
      <c r="B64" s="77"/>
      <c r="C64" s="75"/>
      <c r="D64" s="71"/>
      <c r="E64" s="71"/>
      <c r="F64" s="71"/>
      <c r="G64" s="100"/>
      <c r="H64" s="77"/>
      <c r="I64" s="71"/>
      <c r="J64" s="71"/>
      <c r="K64" s="71"/>
      <c r="L64" s="71"/>
      <c r="M64" s="75"/>
      <c r="N64" s="75"/>
      <c r="O64" s="75"/>
      <c r="P64" s="75"/>
      <c r="Q64" s="75"/>
      <c r="R64" s="75"/>
      <c r="S64" s="28"/>
      <c r="T64" s="28"/>
      <c r="U64" s="28"/>
      <c r="V64" s="28"/>
      <c r="W64" s="28"/>
      <c r="X64" s="28"/>
      <c r="Y64" s="28"/>
      <c r="Z64" s="28"/>
      <c r="AA64" s="28"/>
      <c r="AB64" s="68"/>
      <c r="AC64" s="68"/>
      <c r="AD64" s="68"/>
      <c r="AP64" s="174" t="str">
        <f>IF(SUM(BC15:BC53)&lt;28,"missing input","ok")</f>
        <v>missing input</v>
      </c>
      <c r="AQ64" s="173"/>
      <c r="AR64" s="173"/>
      <c r="AS64" s="173"/>
      <c r="AT64" s="173" t="s">
        <v>67</v>
      </c>
      <c r="AU64" s="173"/>
      <c r="AV64" s="173"/>
      <c r="AW64" s="175"/>
    </row>
    <row r="65" spans="1:49" ht="24.75" customHeight="1" x14ac:dyDescent="0.25">
      <c r="A65" s="75"/>
      <c r="B65" s="77"/>
      <c r="C65" s="75"/>
      <c r="D65" s="71"/>
      <c r="E65" s="71"/>
      <c r="F65" s="71"/>
      <c r="G65" s="100"/>
      <c r="H65" s="77"/>
      <c r="I65" s="71"/>
      <c r="J65" s="71"/>
      <c r="K65" s="71"/>
      <c r="L65" s="71"/>
      <c r="M65" s="75"/>
      <c r="N65" s="75"/>
      <c r="O65" s="75"/>
      <c r="P65" s="75"/>
      <c r="Q65" s="75"/>
      <c r="R65" s="75"/>
      <c r="S65" s="28"/>
      <c r="T65" s="28"/>
      <c r="U65" s="28"/>
      <c r="V65" s="28"/>
      <c r="W65" s="28"/>
      <c r="X65" s="28"/>
      <c r="Y65" s="28"/>
      <c r="Z65" s="28"/>
      <c r="AA65" s="28"/>
      <c r="AB65" s="68"/>
      <c r="AC65" s="68"/>
      <c r="AD65" s="68"/>
      <c r="AP65" s="69" t="str">
        <f>IF(AK25+AK26=2,"M05 gas core location? ","ok")</f>
        <v>ok</v>
      </c>
      <c r="AT65" s="69" t="s">
        <v>186</v>
      </c>
      <c r="AW65" s="176"/>
    </row>
    <row r="66" spans="1:49" ht="24.75" customHeight="1" thickBot="1" x14ac:dyDescent="0.3">
      <c r="A66" s="75"/>
      <c r="B66" s="77"/>
      <c r="C66" s="75"/>
      <c r="D66" s="71"/>
      <c r="E66" s="71"/>
      <c r="F66" s="71"/>
      <c r="G66" s="100"/>
      <c r="H66" s="77"/>
      <c r="I66" s="71"/>
      <c r="J66" s="71"/>
      <c r="K66" s="71"/>
      <c r="L66" s="71"/>
      <c r="M66" s="75"/>
      <c r="N66" s="75"/>
      <c r="O66" s="75"/>
      <c r="P66" s="75"/>
      <c r="Q66" s="75"/>
      <c r="R66" s="75"/>
      <c r="S66" s="28"/>
      <c r="T66" s="28"/>
      <c r="U66" s="28"/>
      <c r="V66" s="28"/>
      <c r="W66" s="28"/>
      <c r="X66" s="28"/>
      <c r="Y66" s="28"/>
      <c r="Z66" s="28"/>
      <c r="AA66" s="28"/>
      <c r="AB66" s="68"/>
      <c r="AC66" s="68"/>
      <c r="AD66" s="68"/>
      <c r="AP66" s="69" t="str">
        <f>IF(AI38+AI39&gt;24,"M14 too many Meteoroids ","ok")</f>
        <v>ok</v>
      </c>
      <c r="AT66" s="69" t="s">
        <v>187</v>
      </c>
    </row>
    <row r="67" spans="1:49" ht="24.75" customHeight="1" thickBot="1" x14ac:dyDescent="0.3">
      <c r="A67" s="75"/>
      <c r="B67" s="77"/>
      <c r="C67" s="75"/>
      <c r="D67" s="71"/>
      <c r="E67" s="71"/>
      <c r="F67" s="71"/>
      <c r="G67" s="100"/>
      <c r="H67" s="77"/>
      <c r="I67" s="71"/>
      <c r="J67" s="71"/>
      <c r="K67" s="71"/>
      <c r="L67" s="71"/>
      <c r="M67" s="75"/>
      <c r="N67" s="75"/>
      <c r="O67" s="75"/>
      <c r="P67" s="75"/>
      <c r="Q67" s="75"/>
      <c r="R67" s="75"/>
      <c r="S67" s="28"/>
      <c r="T67" s="28"/>
      <c r="U67" s="28"/>
      <c r="V67" s="28"/>
      <c r="W67" s="28"/>
      <c r="X67" s="28"/>
      <c r="Y67" s="28"/>
      <c r="Z67" s="28"/>
      <c r="AA67" s="28"/>
      <c r="AB67" s="68"/>
      <c r="AC67" s="68"/>
      <c r="AD67" s="68"/>
      <c r="AJ67" s="72" t="s">
        <v>71</v>
      </c>
      <c r="AK67" s="177">
        <f>AI56</f>
        <v>0</v>
      </c>
      <c r="AL67" s="68"/>
      <c r="AP67" s="69" t="s">
        <v>129</v>
      </c>
    </row>
    <row r="68" spans="1:49" ht="24.75" customHeight="1" x14ac:dyDescent="0.25">
      <c r="A68" s="75"/>
      <c r="B68" s="77"/>
      <c r="C68" s="75"/>
      <c r="D68" s="71"/>
      <c r="E68" s="71"/>
      <c r="F68" s="71"/>
      <c r="G68" s="100"/>
      <c r="H68" s="77"/>
      <c r="I68" s="71"/>
      <c r="J68" s="71"/>
      <c r="K68" s="71"/>
      <c r="L68" s="71"/>
      <c r="M68" s="75"/>
      <c r="N68" s="75"/>
      <c r="O68" s="75"/>
      <c r="P68" s="75"/>
      <c r="Q68" s="75"/>
      <c r="R68" s="75"/>
      <c r="S68" s="28"/>
      <c r="T68" s="28"/>
      <c r="U68" s="28"/>
      <c r="V68" s="28"/>
      <c r="W68" s="28"/>
      <c r="X68" s="28"/>
      <c r="Y68" s="28"/>
      <c r="Z68" s="28"/>
      <c r="AA68" s="28"/>
      <c r="AB68" s="68"/>
      <c r="AC68" s="68"/>
      <c r="AD68" s="68"/>
      <c r="AJ68" s="178" t="s">
        <v>72</v>
      </c>
      <c r="AK68" s="179">
        <f>AJ55</f>
        <v>0</v>
      </c>
      <c r="AL68" s="53">
        <f>IF((SUM(AK48:BB48)+SUM(AK50:AK50))&lt;10, 0,(SUM(AK48:BB48)+SUM(AK50:AK50))/100)</f>
        <v>0</v>
      </c>
      <c r="AP68" s="180" t="s">
        <v>129</v>
      </c>
      <c r="AW68" s="176"/>
    </row>
    <row r="69" spans="1:49" ht="24.75" customHeight="1" thickBot="1" x14ac:dyDescent="0.25">
      <c r="A69" s="75"/>
      <c r="B69" s="77"/>
      <c r="C69" s="75"/>
      <c r="D69" s="71"/>
      <c r="E69" s="71"/>
      <c r="F69" s="71"/>
      <c r="G69" s="71"/>
      <c r="H69" s="77"/>
      <c r="I69" s="71"/>
      <c r="J69" s="71"/>
      <c r="K69" s="71"/>
      <c r="L69" s="71"/>
      <c r="M69" s="75"/>
      <c r="N69" s="75"/>
      <c r="O69" s="75"/>
      <c r="P69" s="75"/>
      <c r="Q69" s="75"/>
      <c r="R69" s="75"/>
      <c r="S69" s="28"/>
      <c r="T69" s="28"/>
      <c r="U69" s="28"/>
      <c r="V69" s="28"/>
      <c r="W69" s="28"/>
      <c r="X69" s="28"/>
      <c r="Y69" s="28"/>
      <c r="Z69" s="28"/>
      <c r="AA69" s="28"/>
      <c r="AB69" s="68"/>
      <c r="AC69" s="68"/>
      <c r="AD69" s="68"/>
      <c r="AJ69" s="178" t="s">
        <v>73</v>
      </c>
      <c r="AK69" s="181">
        <f>AI48</f>
        <v>0</v>
      </c>
      <c r="AL69" s="68"/>
      <c r="AP69" s="155" t="s">
        <v>129</v>
      </c>
      <c r="AQ69" s="182"/>
      <c r="AR69" s="182"/>
      <c r="AS69" s="182"/>
      <c r="AT69" s="182"/>
      <c r="AU69" s="182"/>
      <c r="AV69" s="182"/>
      <c r="AW69" s="183"/>
    </row>
    <row r="70" spans="1:49" ht="24.75" customHeight="1" thickBot="1" x14ac:dyDescent="0.25">
      <c r="A70" s="75"/>
      <c r="B70" s="77"/>
      <c r="C70" s="75"/>
      <c r="D70" s="71"/>
      <c r="E70" s="71"/>
      <c r="F70" s="71"/>
      <c r="G70" s="71"/>
      <c r="H70" s="77"/>
      <c r="I70" s="71"/>
      <c r="J70" s="71"/>
      <c r="K70" s="71"/>
      <c r="L70" s="71"/>
      <c r="M70" s="75"/>
      <c r="N70" s="75"/>
      <c r="O70" s="75"/>
      <c r="P70" s="75"/>
      <c r="Q70" s="75"/>
      <c r="R70" s="75"/>
      <c r="S70" s="28"/>
      <c r="T70" s="28"/>
      <c r="U70" s="28"/>
      <c r="V70" s="28"/>
      <c r="W70" s="28"/>
      <c r="X70" s="28"/>
      <c r="Y70" s="28"/>
      <c r="Z70" s="28"/>
      <c r="AA70" s="28"/>
      <c r="AB70" s="68"/>
      <c r="AC70" s="68"/>
      <c r="AD70" s="68"/>
      <c r="AJ70" s="72" t="s">
        <v>74</v>
      </c>
      <c r="AK70" s="184">
        <f>AI38</f>
        <v>0</v>
      </c>
      <c r="AL70" s="68"/>
      <c r="AP70" s="185" t="str">
        <f>IF(AP64&lt;&gt;"ok",AP64,IF(AP65&lt;&gt;"ok",AP65,IF(AP66&lt;&gt;"ok",AP66,IF(AP67&lt;&gt;"ok",AP67,IF(AP68&lt;&gt;"ok",AP68,IF(AP69&lt;&gt;"ok",AP69,IF(AP68&lt;&gt;"ok",AP68,Total_Score)))))))</f>
        <v>missing input</v>
      </c>
      <c r="AQ70" s="183"/>
    </row>
    <row r="71" spans="1:49" ht="24.75" customHeight="1" thickBot="1" x14ac:dyDescent="0.25">
      <c r="A71" s="75"/>
      <c r="B71" s="77"/>
      <c r="C71" s="75"/>
      <c r="D71" s="71"/>
      <c r="E71" s="71"/>
      <c r="F71" s="71"/>
      <c r="G71" s="71"/>
      <c r="H71" s="77"/>
      <c r="I71" s="71"/>
      <c r="J71" s="71"/>
      <c r="K71" s="71"/>
      <c r="L71" s="71"/>
      <c r="M71" s="75"/>
      <c r="N71" s="75"/>
      <c r="O71" s="75"/>
      <c r="P71" s="75"/>
      <c r="Q71" s="75"/>
      <c r="R71" s="75"/>
      <c r="S71" s="28"/>
      <c r="T71" s="28"/>
      <c r="U71" s="28"/>
      <c r="V71" s="28"/>
      <c r="W71" s="28"/>
      <c r="X71" s="28"/>
      <c r="Y71" s="28"/>
      <c r="Z71" s="28"/>
      <c r="AA71" s="28"/>
      <c r="AB71" s="68"/>
      <c r="AC71" s="68"/>
      <c r="AD71" s="68"/>
      <c r="AJ71" s="178" t="s">
        <v>75</v>
      </c>
      <c r="AK71" s="186">
        <f>AK68+AK69+AK70</f>
        <v>0</v>
      </c>
      <c r="AL71" s="68"/>
    </row>
    <row r="72" spans="1:49" ht="24.75" customHeight="1" x14ac:dyDescent="0.2">
      <c r="A72" s="75"/>
      <c r="B72" s="77"/>
      <c r="C72" s="75"/>
      <c r="D72" s="71"/>
      <c r="E72" s="71"/>
      <c r="F72" s="71"/>
      <c r="G72" s="71"/>
      <c r="H72" s="77"/>
      <c r="I72" s="71"/>
      <c r="J72" s="71"/>
      <c r="K72" s="71"/>
      <c r="L72" s="71"/>
      <c r="M72" s="75"/>
      <c r="N72" s="75"/>
      <c r="O72" s="75"/>
      <c r="P72" s="75"/>
      <c r="Q72" s="75"/>
      <c r="R72" s="75"/>
      <c r="S72" s="28"/>
      <c r="T72" s="28"/>
      <c r="U72" s="28"/>
      <c r="V72" s="28"/>
      <c r="W72" s="28"/>
      <c r="X72" s="28"/>
      <c r="Y72" s="28"/>
      <c r="Z72" s="28"/>
      <c r="AA72" s="28"/>
      <c r="AB72" s="68"/>
      <c r="AC72" s="68"/>
      <c r="AD72" s="68"/>
      <c r="AK72" s="68"/>
      <c r="AL72" s="68"/>
    </row>
    <row r="73" spans="1:49" ht="24.75" customHeight="1" x14ac:dyDescent="0.2">
      <c r="A73" s="75"/>
      <c r="B73" s="77"/>
      <c r="C73" s="75"/>
      <c r="D73" s="71"/>
      <c r="E73" s="71"/>
      <c r="F73" s="71"/>
      <c r="G73" s="71"/>
      <c r="H73" s="77"/>
      <c r="I73" s="71"/>
      <c r="J73" s="71"/>
      <c r="K73" s="71"/>
      <c r="L73" s="71"/>
      <c r="M73" s="151"/>
      <c r="N73" s="75"/>
      <c r="O73" s="75"/>
      <c r="P73" s="75"/>
      <c r="Q73" s="75"/>
      <c r="R73" s="75"/>
      <c r="S73" s="28"/>
      <c r="T73" s="28"/>
      <c r="U73" s="28"/>
      <c r="V73" s="28"/>
      <c r="W73" s="28"/>
      <c r="X73" s="28"/>
      <c r="Y73" s="28"/>
      <c r="Z73" s="28"/>
      <c r="AA73" s="28"/>
      <c r="AB73" s="68"/>
      <c r="AC73" s="68"/>
      <c r="AD73" s="68"/>
      <c r="AJ73" s="178" t="s">
        <v>76</v>
      </c>
      <c r="AK73" s="68" t="b">
        <f>AK71=AK67</f>
        <v>1</v>
      </c>
      <c r="AL73" s="68"/>
    </row>
    <row r="74" spans="1:49" ht="24.75" customHeight="1" x14ac:dyDescent="0.2">
      <c r="A74" s="75"/>
      <c r="B74" s="77"/>
      <c r="C74" s="75"/>
      <c r="D74" s="71"/>
      <c r="E74" s="71"/>
      <c r="F74" s="71"/>
      <c r="G74" s="71"/>
      <c r="H74" s="77"/>
      <c r="I74" s="71"/>
      <c r="J74" s="71"/>
      <c r="K74" s="71"/>
      <c r="L74" s="71"/>
      <c r="M74" s="151"/>
      <c r="N74" s="75"/>
      <c r="O74" s="75"/>
      <c r="P74" s="75"/>
      <c r="Q74" s="75"/>
      <c r="R74" s="75"/>
      <c r="S74" s="28"/>
      <c r="T74" s="28"/>
      <c r="U74" s="28"/>
      <c r="V74" s="28"/>
      <c r="W74" s="28"/>
      <c r="X74" s="28"/>
      <c r="Y74" s="28"/>
      <c r="Z74" s="28"/>
      <c r="AA74" s="28"/>
      <c r="AB74" s="68"/>
      <c r="AC74" s="68"/>
      <c r="AD74" s="68"/>
    </row>
    <row r="75" spans="1:49" ht="24.75" customHeight="1" x14ac:dyDescent="0.2">
      <c r="A75" s="75"/>
      <c r="B75" s="77"/>
      <c r="C75" s="75"/>
      <c r="D75" s="71"/>
      <c r="E75" s="71"/>
      <c r="F75" s="71"/>
      <c r="G75" s="71"/>
      <c r="H75" s="77"/>
      <c r="I75" s="71"/>
      <c r="J75" s="71"/>
      <c r="K75" s="71"/>
      <c r="L75" s="71"/>
      <c r="M75" s="151"/>
      <c r="N75" s="75"/>
      <c r="O75" s="75"/>
      <c r="P75" s="75"/>
      <c r="Q75" s="75"/>
      <c r="R75" s="75"/>
      <c r="S75" s="28"/>
      <c r="T75" s="28"/>
      <c r="U75" s="28"/>
      <c r="V75" s="28"/>
      <c r="W75" s="28"/>
      <c r="X75" s="28"/>
      <c r="Y75" s="28"/>
      <c r="Z75" s="28"/>
      <c r="AA75" s="28"/>
      <c r="AB75" s="68"/>
      <c r="AC75" s="68"/>
      <c r="AD75" s="68"/>
    </row>
    <row r="76" spans="1:49" ht="21" customHeight="1" x14ac:dyDescent="0.2">
      <c r="A76" s="75"/>
      <c r="B76" s="77"/>
      <c r="C76" s="75"/>
      <c r="D76" s="71"/>
      <c r="E76" s="71"/>
      <c r="F76" s="71"/>
      <c r="G76" s="71"/>
      <c r="H76" s="77"/>
      <c r="I76" s="71"/>
      <c r="J76" s="71"/>
      <c r="K76" s="71"/>
      <c r="L76" s="71"/>
      <c r="M76" s="151"/>
      <c r="N76" s="75"/>
      <c r="O76" s="75"/>
      <c r="P76" s="75"/>
      <c r="Q76" s="75"/>
      <c r="R76" s="75"/>
      <c r="S76" s="28"/>
      <c r="T76" s="28"/>
      <c r="U76" s="28"/>
      <c r="V76" s="28"/>
      <c r="W76" s="28"/>
      <c r="X76" s="28"/>
      <c r="Y76" s="28"/>
      <c r="Z76" s="28"/>
      <c r="AA76" s="28"/>
      <c r="AB76" s="68"/>
      <c r="AC76" s="68"/>
      <c r="AD76" s="68"/>
    </row>
    <row r="77" spans="1:49" ht="21" customHeight="1" x14ac:dyDescent="0.2">
      <c r="A77" s="75"/>
      <c r="B77" s="77"/>
      <c r="C77" s="75"/>
      <c r="D77" s="71"/>
      <c r="E77" s="71"/>
      <c r="F77" s="71"/>
      <c r="G77" s="71"/>
      <c r="H77" s="77"/>
      <c r="I77" s="71"/>
      <c r="J77" s="71"/>
      <c r="K77" s="71"/>
      <c r="L77" s="71"/>
      <c r="M77" s="151"/>
      <c r="N77" s="75"/>
      <c r="O77" s="75"/>
      <c r="P77" s="75"/>
      <c r="Q77" s="75"/>
      <c r="R77" s="75"/>
      <c r="S77" s="28"/>
      <c r="T77" s="28"/>
      <c r="U77" s="28"/>
      <c r="V77" s="28"/>
      <c r="W77" s="28"/>
      <c r="X77" s="28"/>
      <c r="Y77" s="28"/>
      <c r="Z77" s="28"/>
      <c r="AA77" s="28"/>
      <c r="AB77" s="68"/>
      <c r="AC77" s="68"/>
      <c r="AD77" s="68"/>
    </row>
    <row r="78" spans="1:49" ht="21" customHeight="1" x14ac:dyDescent="0.2">
      <c r="A78" s="75"/>
      <c r="B78" s="77"/>
      <c r="C78" s="75"/>
      <c r="D78" s="71"/>
      <c r="E78" s="71"/>
      <c r="F78" s="71"/>
      <c r="G78" s="71"/>
      <c r="H78" s="77"/>
      <c r="I78" s="71"/>
      <c r="J78" s="71"/>
      <c r="K78" s="71"/>
      <c r="L78" s="71"/>
      <c r="M78" s="151"/>
      <c r="N78" s="75"/>
      <c r="O78" s="75"/>
      <c r="P78" s="75"/>
      <c r="Q78" s="75"/>
      <c r="R78" s="75"/>
      <c r="S78" s="28"/>
      <c r="T78" s="28"/>
      <c r="U78" s="28"/>
      <c r="V78" s="28"/>
      <c r="W78" s="28"/>
      <c r="X78" s="28"/>
      <c r="Y78" s="28"/>
      <c r="Z78" s="28"/>
      <c r="AA78" s="28"/>
      <c r="AB78" s="68"/>
      <c r="AC78" s="68"/>
      <c r="AD78" s="68"/>
    </row>
    <row r="79" spans="1:49" ht="21" customHeight="1" x14ac:dyDescent="0.2">
      <c r="A79" s="75"/>
      <c r="B79" s="77"/>
      <c r="C79" s="75"/>
      <c r="D79" s="71"/>
      <c r="E79" s="71"/>
      <c r="F79" s="71"/>
      <c r="G79" s="71"/>
      <c r="H79" s="77"/>
      <c r="I79" s="71"/>
      <c r="J79" s="71"/>
      <c r="K79" s="71"/>
      <c r="L79" s="71"/>
      <c r="M79" s="151"/>
      <c r="N79" s="75"/>
      <c r="O79" s="75"/>
      <c r="P79" s="75"/>
      <c r="Q79" s="75"/>
      <c r="R79" s="75"/>
      <c r="S79" s="28"/>
      <c r="T79" s="28"/>
      <c r="U79" s="28"/>
      <c r="V79" s="28"/>
      <c r="W79" s="28"/>
      <c r="X79" s="28"/>
      <c r="Y79" s="28"/>
      <c r="Z79" s="28"/>
      <c r="AA79" s="28"/>
      <c r="AB79" s="68"/>
      <c r="AC79" s="68"/>
      <c r="AD79" s="68"/>
    </row>
    <row r="80" spans="1:49" ht="21" customHeight="1" x14ac:dyDescent="0.2">
      <c r="A80" s="75"/>
      <c r="B80" s="77"/>
      <c r="C80" s="75"/>
      <c r="D80" s="71"/>
      <c r="E80" s="71"/>
      <c r="F80" s="71"/>
      <c r="G80" s="71"/>
      <c r="H80" s="77"/>
      <c r="I80" s="71"/>
      <c r="J80" s="71"/>
      <c r="K80" s="71"/>
      <c r="L80" s="71"/>
      <c r="M80" s="151"/>
      <c r="N80" s="75"/>
      <c r="O80" s="75"/>
      <c r="P80" s="75"/>
      <c r="Q80" s="75"/>
      <c r="R80" s="75"/>
      <c r="S80" s="28"/>
      <c r="T80" s="28"/>
      <c r="U80" s="28"/>
      <c r="V80" s="28"/>
      <c r="W80" s="28"/>
      <c r="X80" s="28"/>
      <c r="Y80" s="28"/>
      <c r="Z80" s="28"/>
      <c r="AA80" s="28"/>
      <c r="AB80" s="68"/>
      <c r="AC80" s="68"/>
      <c r="AD80" s="68"/>
    </row>
    <row r="81" spans="1:30" ht="21" customHeight="1" x14ac:dyDescent="0.2">
      <c r="A81" s="75"/>
      <c r="B81" s="77"/>
      <c r="C81" s="75"/>
      <c r="D81" s="71"/>
      <c r="E81" s="71"/>
      <c r="F81" s="71"/>
      <c r="G81" s="71"/>
      <c r="H81" s="77"/>
      <c r="I81" s="71"/>
      <c r="J81" s="71"/>
      <c r="K81" s="71"/>
      <c r="L81" s="71"/>
      <c r="M81" s="151"/>
      <c r="N81" s="75"/>
      <c r="O81" s="75"/>
      <c r="P81" s="75"/>
      <c r="Q81" s="75"/>
      <c r="R81" s="75"/>
      <c r="S81" s="28"/>
      <c r="T81" s="28"/>
      <c r="U81" s="28"/>
      <c r="V81" s="28"/>
      <c r="W81" s="28"/>
      <c r="X81" s="28"/>
      <c r="Y81" s="28"/>
      <c r="Z81" s="28"/>
      <c r="AA81" s="28"/>
      <c r="AB81" s="68"/>
      <c r="AC81" s="68"/>
      <c r="AD81" s="68"/>
    </row>
    <row r="82" spans="1:30" ht="21" customHeight="1" x14ac:dyDescent="0.2">
      <c r="A82" s="75"/>
      <c r="B82" s="77"/>
      <c r="C82" s="75"/>
      <c r="D82" s="71"/>
      <c r="E82" s="71"/>
      <c r="F82" s="71"/>
      <c r="G82" s="71"/>
      <c r="H82" s="77"/>
      <c r="I82" s="71"/>
      <c r="J82" s="71"/>
      <c r="K82" s="71"/>
      <c r="L82" s="71"/>
      <c r="M82" s="151"/>
      <c r="N82" s="75"/>
      <c r="O82" s="75"/>
      <c r="P82" s="75"/>
      <c r="Q82" s="75"/>
      <c r="R82" s="75"/>
      <c r="S82" s="28"/>
      <c r="T82" s="28"/>
      <c r="U82" s="28"/>
      <c r="V82" s="28"/>
      <c r="W82" s="28"/>
      <c r="X82" s="28"/>
      <c r="Y82" s="28"/>
      <c r="Z82" s="28"/>
      <c r="AA82" s="28"/>
      <c r="AB82" s="68"/>
      <c r="AC82" s="68"/>
      <c r="AD82" s="68"/>
    </row>
    <row r="83" spans="1:30" ht="21" customHeight="1" x14ac:dyDescent="0.2">
      <c r="A83" s="75"/>
      <c r="B83" s="77"/>
      <c r="C83" s="75"/>
      <c r="D83" s="71"/>
      <c r="E83" s="71"/>
      <c r="F83" s="71"/>
      <c r="G83" s="71"/>
      <c r="H83" s="77"/>
      <c r="I83" s="71"/>
      <c r="J83" s="71"/>
      <c r="K83" s="71"/>
      <c r="L83" s="71"/>
      <c r="M83" s="151"/>
      <c r="N83" s="75"/>
      <c r="O83" s="75"/>
      <c r="P83" s="75"/>
      <c r="Q83" s="75"/>
      <c r="R83" s="75"/>
      <c r="S83" s="28"/>
      <c r="T83" s="28"/>
      <c r="U83" s="28"/>
      <c r="V83" s="28"/>
      <c r="W83" s="28"/>
      <c r="X83" s="28"/>
      <c r="Y83" s="28"/>
      <c r="Z83" s="28"/>
      <c r="AA83" s="28"/>
      <c r="AB83" s="68"/>
      <c r="AC83" s="68"/>
      <c r="AD83" s="68"/>
    </row>
    <row r="84" spans="1:30" ht="21" customHeight="1" x14ac:dyDescent="0.2">
      <c r="A84" s="75"/>
      <c r="B84" s="77"/>
      <c r="C84" s="75"/>
      <c r="D84" s="71"/>
      <c r="E84" s="71"/>
      <c r="F84" s="71"/>
      <c r="G84" s="71"/>
      <c r="H84" s="77"/>
      <c r="I84" s="71"/>
      <c r="J84" s="71"/>
      <c r="K84" s="71"/>
      <c r="L84" s="71"/>
      <c r="M84" s="151"/>
      <c r="N84" s="75"/>
      <c r="O84" s="75"/>
      <c r="P84" s="75"/>
      <c r="Q84" s="75"/>
      <c r="R84" s="75"/>
      <c r="S84" s="28"/>
      <c r="T84" s="28"/>
      <c r="U84" s="28"/>
      <c r="V84" s="28"/>
      <c r="W84" s="28"/>
      <c r="X84" s="28"/>
      <c r="Y84" s="28"/>
      <c r="Z84" s="28"/>
      <c r="AA84" s="28"/>
      <c r="AB84" s="68"/>
      <c r="AC84" s="68"/>
      <c r="AD84" s="68"/>
    </row>
    <row r="85" spans="1:30" ht="21" customHeight="1" x14ac:dyDescent="0.2">
      <c r="A85" s="75"/>
      <c r="B85" s="77"/>
      <c r="C85" s="75"/>
      <c r="D85" s="71"/>
      <c r="E85" s="71"/>
      <c r="F85" s="71"/>
      <c r="G85" s="71"/>
      <c r="H85" s="77"/>
      <c r="I85" s="71"/>
      <c r="J85" s="71"/>
      <c r="K85" s="71"/>
      <c r="L85" s="71"/>
      <c r="M85" s="151"/>
      <c r="N85" s="75"/>
      <c r="O85" s="75"/>
      <c r="P85" s="75"/>
      <c r="Q85" s="75"/>
      <c r="R85" s="75"/>
      <c r="S85" s="28"/>
      <c r="T85" s="28"/>
      <c r="U85" s="28"/>
      <c r="V85" s="28"/>
      <c r="W85" s="28"/>
      <c r="X85" s="28"/>
      <c r="Y85" s="28"/>
      <c r="Z85" s="28"/>
      <c r="AA85" s="28"/>
      <c r="AB85" s="68"/>
      <c r="AC85" s="68"/>
      <c r="AD85" s="68"/>
    </row>
    <row r="86" spans="1:30" ht="21" customHeight="1" x14ac:dyDescent="0.2">
      <c r="A86" s="75"/>
      <c r="B86" s="77"/>
      <c r="C86" s="75"/>
      <c r="D86" s="71"/>
      <c r="E86" s="71"/>
      <c r="F86" s="71"/>
      <c r="G86" s="71"/>
      <c r="H86" s="77"/>
      <c r="I86" s="71"/>
      <c r="J86" s="71"/>
      <c r="K86" s="71"/>
      <c r="L86" s="71"/>
      <c r="M86" s="151"/>
      <c r="N86" s="75"/>
      <c r="O86" s="75"/>
      <c r="P86" s="75"/>
      <c r="Q86" s="75"/>
      <c r="R86" s="75"/>
      <c r="S86" s="28"/>
      <c r="T86" s="28"/>
      <c r="U86" s="28"/>
      <c r="V86" s="28"/>
      <c r="W86" s="28"/>
      <c r="X86" s="28"/>
      <c r="Y86" s="28"/>
      <c r="Z86" s="28"/>
      <c r="AA86" s="28"/>
      <c r="AB86" s="68"/>
      <c r="AC86" s="68"/>
      <c r="AD86" s="68"/>
    </row>
    <row r="87" spans="1:30" ht="21" customHeight="1" x14ac:dyDescent="0.2">
      <c r="A87" s="75"/>
      <c r="B87" s="77"/>
      <c r="C87" s="75"/>
      <c r="D87" s="71"/>
      <c r="E87" s="71"/>
      <c r="F87" s="71"/>
      <c r="G87" s="71"/>
      <c r="H87" s="77"/>
      <c r="I87" s="71"/>
      <c r="J87" s="71"/>
      <c r="K87" s="71"/>
      <c r="L87" s="71"/>
      <c r="M87" s="151"/>
      <c r="N87" s="75"/>
      <c r="O87" s="75"/>
      <c r="P87" s="75"/>
      <c r="Q87" s="75"/>
      <c r="R87" s="75"/>
      <c r="S87" s="28"/>
      <c r="T87" s="28"/>
      <c r="U87" s="28"/>
      <c r="V87" s="28"/>
      <c r="W87" s="28"/>
      <c r="X87" s="28"/>
      <c r="Y87" s="28"/>
      <c r="Z87" s="28"/>
      <c r="AC87" s="68"/>
      <c r="AD87" s="68"/>
    </row>
    <row r="88" spans="1:30" ht="21" customHeight="1" x14ac:dyDescent="0.2">
      <c r="A88" s="75"/>
      <c r="B88" s="77"/>
      <c r="C88" s="75"/>
      <c r="D88" s="71"/>
      <c r="E88" s="71"/>
      <c r="F88" s="71"/>
      <c r="G88" s="71"/>
      <c r="H88" s="77"/>
      <c r="I88" s="71"/>
      <c r="J88" s="71"/>
      <c r="K88" s="71"/>
      <c r="L88" s="71"/>
      <c r="M88" s="151"/>
      <c r="N88" s="75"/>
      <c r="O88" s="75"/>
      <c r="P88" s="75"/>
      <c r="Q88" s="75"/>
      <c r="R88" s="75"/>
      <c r="S88" s="28"/>
      <c r="T88" s="28"/>
      <c r="U88" s="28"/>
      <c r="V88" s="28"/>
      <c r="W88" s="28"/>
      <c r="X88" s="28"/>
      <c r="Y88" s="28"/>
      <c r="Z88" s="28"/>
      <c r="AC88" s="68"/>
      <c r="AD88" s="68"/>
    </row>
    <row r="89" spans="1:30" ht="21" customHeight="1" x14ac:dyDescent="0.2">
      <c r="A89" s="75"/>
      <c r="B89" s="77"/>
      <c r="C89" s="75"/>
      <c r="D89" s="71"/>
      <c r="E89" s="71"/>
      <c r="F89" s="71"/>
      <c r="G89" s="71"/>
      <c r="H89" s="77"/>
      <c r="I89" s="71"/>
      <c r="J89" s="71"/>
      <c r="K89" s="71"/>
      <c r="L89" s="71"/>
      <c r="M89" s="151"/>
      <c r="N89" s="75"/>
      <c r="O89" s="75"/>
      <c r="P89" s="75"/>
      <c r="Q89" s="75"/>
      <c r="R89" s="75"/>
      <c r="S89" s="28"/>
      <c r="T89" s="28"/>
      <c r="U89" s="28"/>
      <c r="V89" s="28"/>
      <c r="W89" s="28"/>
      <c r="X89" s="28"/>
      <c r="Y89" s="28"/>
      <c r="Z89" s="28"/>
      <c r="AC89" s="68"/>
      <c r="AD89" s="68"/>
    </row>
    <row r="90" spans="1:30" ht="21" customHeight="1" x14ac:dyDescent="0.2">
      <c r="A90" s="75"/>
      <c r="B90" s="77"/>
      <c r="C90" s="75"/>
      <c r="D90" s="71"/>
      <c r="E90" s="71"/>
      <c r="F90" s="71"/>
      <c r="G90" s="71"/>
      <c r="H90" s="77"/>
      <c r="I90" s="71"/>
      <c r="J90" s="71"/>
      <c r="K90" s="71"/>
      <c r="L90" s="71"/>
      <c r="M90" s="151"/>
      <c r="N90" s="75"/>
      <c r="O90" s="75"/>
      <c r="P90" s="75"/>
      <c r="Q90" s="75"/>
      <c r="R90" s="75"/>
      <c r="S90" s="28"/>
      <c r="T90" s="28"/>
      <c r="U90" s="28"/>
      <c r="V90" s="28"/>
      <c r="W90" s="28"/>
      <c r="X90" s="28"/>
      <c r="Y90" s="28"/>
      <c r="Z90" s="28"/>
      <c r="AC90" s="68"/>
      <c r="AD90" s="68"/>
    </row>
    <row r="91" spans="1:30" ht="21" customHeight="1" x14ac:dyDescent="0.2">
      <c r="A91" s="75"/>
      <c r="B91" s="77"/>
      <c r="C91" s="75"/>
      <c r="D91" s="71"/>
      <c r="E91" s="71"/>
      <c r="F91" s="71"/>
      <c r="G91" s="71"/>
      <c r="H91" s="77"/>
      <c r="I91" s="71"/>
      <c r="J91" s="71"/>
      <c r="K91" s="71"/>
      <c r="L91" s="71"/>
      <c r="M91" s="151"/>
      <c r="N91" s="75"/>
      <c r="O91" s="75"/>
      <c r="P91" s="75"/>
      <c r="Q91" s="75"/>
      <c r="R91" s="75"/>
      <c r="S91" s="28"/>
      <c r="T91" s="28"/>
      <c r="U91" s="28"/>
      <c r="V91" s="28"/>
      <c r="W91" s="28"/>
      <c r="X91" s="28"/>
      <c r="Y91" s="28"/>
      <c r="Z91" s="28"/>
      <c r="AC91" s="68"/>
      <c r="AD91" s="68"/>
    </row>
    <row r="92" spans="1:30" ht="21" customHeight="1" x14ac:dyDescent="0.2">
      <c r="A92" s="75"/>
      <c r="B92" s="77"/>
      <c r="C92" s="75"/>
      <c r="D92" s="71"/>
      <c r="E92" s="71"/>
      <c r="F92" s="71"/>
      <c r="G92" s="71"/>
      <c r="H92" s="77"/>
      <c r="I92" s="71"/>
      <c r="J92" s="71"/>
      <c r="K92" s="71"/>
      <c r="L92" s="71"/>
      <c r="M92" s="151"/>
      <c r="N92" s="75"/>
      <c r="O92" s="75"/>
      <c r="P92" s="75"/>
      <c r="Q92" s="75"/>
      <c r="R92" s="75"/>
      <c r="S92" s="28"/>
      <c r="T92" s="28"/>
      <c r="U92" s="28"/>
      <c r="V92" s="28"/>
      <c r="W92" s="28"/>
      <c r="X92" s="28"/>
      <c r="Y92" s="28"/>
      <c r="Z92" s="28"/>
      <c r="AC92" s="68"/>
      <c r="AD92" s="68"/>
    </row>
    <row r="93" spans="1:30" ht="21" customHeight="1" x14ac:dyDescent="0.2">
      <c r="A93" s="75"/>
      <c r="B93" s="77"/>
      <c r="C93" s="75"/>
      <c r="D93" s="71"/>
      <c r="E93" s="71"/>
      <c r="F93" s="71"/>
      <c r="G93" s="71"/>
      <c r="H93" s="77"/>
      <c r="I93" s="71"/>
      <c r="J93" s="71"/>
      <c r="K93" s="71"/>
      <c r="L93" s="71"/>
      <c r="M93" s="151"/>
      <c r="N93" s="75"/>
      <c r="O93" s="75"/>
      <c r="P93" s="75"/>
      <c r="Q93" s="75"/>
      <c r="R93" s="75"/>
      <c r="S93" s="28"/>
      <c r="T93" s="28"/>
      <c r="U93" s="28"/>
      <c r="V93" s="28"/>
      <c r="W93" s="28"/>
      <c r="X93" s="28"/>
      <c r="Y93" s="28"/>
      <c r="Z93" s="28"/>
      <c r="AC93" s="68"/>
      <c r="AD93" s="68"/>
    </row>
    <row r="94" spans="1:30" ht="21" customHeight="1" x14ac:dyDescent="0.2">
      <c r="A94" s="75"/>
      <c r="B94" s="77"/>
      <c r="C94" s="75"/>
      <c r="D94" s="71"/>
      <c r="E94" s="71"/>
      <c r="F94" s="71"/>
      <c r="G94" s="71"/>
      <c r="H94" s="77"/>
      <c r="I94" s="71"/>
      <c r="J94" s="71"/>
      <c r="K94" s="71"/>
      <c r="L94" s="71"/>
      <c r="M94" s="151"/>
      <c r="N94" s="75"/>
      <c r="O94" s="75"/>
      <c r="P94" s="75"/>
      <c r="Q94" s="75"/>
      <c r="R94" s="75"/>
      <c r="S94" s="28"/>
      <c r="T94" s="28"/>
      <c r="U94" s="28"/>
      <c r="V94" s="28"/>
      <c r="W94" s="28"/>
      <c r="X94" s="28"/>
      <c r="Y94" s="28"/>
      <c r="Z94" s="28"/>
      <c r="AC94" s="68"/>
      <c r="AD94" s="68"/>
    </row>
    <row r="95" spans="1:30" ht="21" customHeight="1" x14ac:dyDescent="0.2">
      <c r="A95" s="75"/>
      <c r="B95" s="77"/>
      <c r="C95" s="75"/>
      <c r="D95" s="71"/>
      <c r="E95" s="71"/>
      <c r="F95" s="71"/>
      <c r="G95" s="71"/>
      <c r="H95" s="77"/>
      <c r="I95" s="71"/>
      <c r="J95" s="71"/>
      <c r="K95" s="71"/>
      <c r="L95" s="71"/>
      <c r="M95" s="151"/>
      <c r="N95" s="75"/>
      <c r="O95" s="75"/>
      <c r="P95" s="75"/>
      <c r="Q95" s="75"/>
      <c r="R95" s="75"/>
      <c r="S95" s="28"/>
      <c r="T95" s="28"/>
      <c r="U95" s="28"/>
      <c r="V95" s="28"/>
      <c r="W95" s="28"/>
      <c r="X95" s="28"/>
      <c r="Y95" s="28"/>
      <c r="Z95" s="28"/>
      <c r="AC95" s="68"/>
      <c r="AD95" s="68"/>
    </row>
    <row r="96" spans="1:30" ht="21" customHeight="1" x14ac:dyDescent="0.2">
      <c r="A96" s="75"/>
      <c r="B96" s="77"/>
      <c r="C96" s="75"/>
      <c r="D96" s="71"/>
      <c r="E96" s="71"/>
      <c r="F96" s="71"/>
      <c r="G96" s="71"/>
      <c r="H96" s="77"/>
      <c r="I96" s="71"/>
      <c r="J96" s="71"/>
      <c r="K96" s="71"/>
      <c r="L96" s="71"/>
      <c r="M96" s="151"/>
      <c r="N96" s="75"/>
      <c r="O96" s="75"/>
      <c r="P96" s="75"/>
      <c r="Q96" s="75"/>
      <c r="R96" s="75"/>
      <c r="S96" s="28"/>
      <c r="T96" s="28"/>
      <c r="U96" s="28"/>
      <c r="V96" s="28"/>
      <c r="W96" s="28"/>
      <c r="X96" s="28"/>
      <c r="Y96" s="28"/>
      <c r="Z96" s="28"/>
      <c r="AC96" s="68"/>
      <c r="AD96" s="68"/>
    </row>
    <row r="97" spans="1:30" ht="21" customHeight="1" x14ac:dyDescent="0.2">
      <c r="A97" s="75"/>
      <c r="B97" s="77"/>
      <c r="C97" s="75"/>
      <c r="D97" s="71"/>
      <c r="E97" s="71"/>
      <c r="F97" s="71"/>
      <c r="G97" s="71"/>
      <c r="H97" s="77"/>
      <c r="I97" s="71"/>
      <c r="J97" s="71"/>
      <c r="K97" s="71"/>
      <c r="L97" s="71"/>
      <c r="M97" s="151"/>
      <c r="N97" s="75"/>
      <c r="O97" s="75"/>
      <c r="P97" s="75"/>
      <c r="Q97" s="75"/>
      <c r="R97" s="75"/>
      <c r="S97" s="28"/>
      <c r="T97" s="28"/>
      <c r="U97" s="28"/>
      <c r="V97" s="28"/>
      <c r="W97" s="28"/>
      <c r="X97" s="28"/>
      <c r="Y97" s="28"/>
      <c r="Z97" s="28"/>
      <c r="AC97" s="68"/>
      <c r="AD97" s="68"/>
    </row>
    <row r="98" spans="1:30" ht="21" customHeight="1" x14ac:dyDescent="0.2">
      <c r="A98" s="75"/>
      <c r="B98" s="77"/>
      <c r="C98" s="75"/>
      <c r="D98" s="71"/>
      <c r="E98" s="71"/>
      <c r="F98" s="71"/>
      <c r="G98" s="71"/>
      <c r="H98" s="77"/>
      <c r="I98" s="71"/>
      <c r="J98" s="71"/>
      <c r="K98" s="71"/>
      <c r="L98" s="71"/>
      <c r="M98" s="151"/>
      <c r="N98" s="75"/>
      <c r="O98" s="28"/>
      <c r="P98" s="28"/>
      <c r="Q98" s="28"/>
      <c r="R98" s="28"/>
      <c r="S98" s="28"/>
      <c r="T98" s="28"/>
      <c r="U98" s="28"/>
      <c r="V98" s="28"/>
      <c r="W98" s="28"/>
      <c r="X98" s="28"/>
      <c r="Y98" s="28"/>
      <c r="Z98" s="28"/>
      <c r="AC98" s="68"/>
      <c r="AD98" s="68"/>
    </row>
    <row r="99" spans="1:30" ht="21" customHeight="1" x14ac:dyDescent="0.2">
      <c r="A99" s="75"/>
      <c r="B99" s="77"/>
      <c r="C99" s="75"/>
      <c r="D99" s="71"/>
      <c r="E99" s="71"/>
      <c r="F99" s="71"/>
      <c r="G99" s="71"/>
      <c r="H99" s="77"/>
      <c r="I99" s="71"/>
      <c r="J99" s="71"/>
      <c r="K99" s="71"/>
      <c r="L99" s="71"/>
      <c r="M99" s="151"/>
      <c r="N99" s="75"/>
      <c r="O99" s="28"/>
      <c r="P99" s="28"/>
      <c r="Q99" s="28"/>
      <c r="R99" s="28"/>
      <c r="S99" s="28"/>
      <c r="T99" s="28"/>
      <c r="U99" s="28"/>
      <c r="V99" s="28"/>
      <c r="W99" s="28"/>
      <c r="X99" s="28"/>
      <c r="Y99" s="28"/>
      <c r="Z99" s="28"/>
      <c r="AC99" s="68"/>
      <c r="AD99" s="68"/>
    </row>
    <row r="100" spans="1:30" ht="21" customHeight="1" x14ac:dyDescent="0.2">
      <c r="A100" s="75"/>
      <c r="B100" s="77"/>
      <c r="C100" s="75"/>
      <c r="D100" s="71"/>
      <c r="E100" s="71"/>
      <c r="F100" s="71"/>
      <c r="G100" s="71"/>
      <c r="H100" s="77"/>
      <c r="I100" s="71"/>
      <c r="J100" s="71"/>
      <c r="K100" s="71"/>
      <c r="L100" s="71"/>
      <c r="M100" s="151"/>
      <c r="N100" s="75"/>
      <c r="O100" s="28"/>
      <c r="P100" s="28"/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C100" s="68"/>
      <c r="AD100" s="68"/>
    </row>
    <row r="101" spans="1:30" ht="21" customHeight="1" x14ac:dyDescent="0.2">
      <c r="A101" s="75"/>
      <c r="B101" s="77"/>
      <c r="C101" s="75"/>
      <c r="D101" s="71"/>
      <c r="E101" s="71"/>
      <c r="F101" s="71"/>
      <c r="G101" s="71"/>
      <c r="H101" s="77"/>
      <c r="I101" s="71"/>
      <c r="J101" s="71"/>
      <c r="K101" s="71"/>
      <c r="L101" s="71"/>
      <c r="M101" s="151"/>
      <c r="N101" s="75"/>
      <c r="O101" s="28"/>
      <c r="P101" s="28"/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C101" s="68"/>
      <c r="AD101" s="68"/>
    </row>
    <row r="102" spans="1:30" ht="21" customHeight="1" x14ac:dyDescent="0.2">
      <c r="A102" s="75"/>
      <c r="B102" s="77"/>
      <c r="C102" s="75"/>
      <c r="D102" s="71"/>
      <c r="E102" s="71"/>
      <c r="F102" s="71"/>
      <c r="G102" s="71"/>
      <c r="H102" s="77"/>
      <c r="I102" s="71"/>
      <c r="J102" s="71"/>
      <c r="K102" s="71"/>
      <c r="L102" s="71"/>
      <c r="M102" s="151"/>
      <c r="N102" s="75"/>
      <c r="O102" s="28"/>
      <c r="P102" s="28"/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C102" s="68"/>
      <c r="AD102" s="68"/>
    </row>
    <row r="103" spans="1:30" ht="21" customHeight="1" x14ac:dyDescent="0.2">
      <c r="A103" s="75"/>
      <c r="B103" s="77"/>
      <c r="C103" s="75"/>
      <c r="D103" s="71"/>
      <c r="E103" s="71"/>
      <c r="F103" s="71"/>
      <c r="G103" s="71"/>
      <c r="H103" s="77"/>
      <c r="I103" s="71"/>
      <c r="J103" s="71"/>
      <c r="K103" s="71"/>
      <c r="L103" s="71"/>
      <c r="M103" s="151"/>
      <c r="N103" s="75"/>
      <c r="O103" s="28"/>
      <c r="P103" s="28"/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C103" s="68"/>
      <c r="AD103" s="68"/>
    </row>
    <row r="104" spans="1:30" ht="21" customHeight="1" x14ac:dyDescent="0.2">
      <c r="A104" s="75"/>
      <c r="B104" s="77"/>
      <c r="C104" s="75"/>
      <c r="D104" s="71"/>
      <c r="E104" s="71"/>
      <c r="F104" s="71"/>
      <c r="G104" s="71"/>
      <c r="H104" s="77"/>
      <c r="I104" s="71"/>
      <c r="J104" s="71"/>
      <c r="K104" s="71"/>
      <c r="L104" s="71"/>
      <c r="M104" s="151"/>
      <c r="N104" s="75"/>
      <c r="O104" s="28"/>
      <c r="P104" s="28"/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8"/>
      <c r="AB104" s="68"/>
      <c r="AC104" s="68"/>
      <c r="AD104" s="68"/>
    </row>
    <row r="105" spans="1:30" ht="21" customHeight="1" x14ac:dyDescent="0.2">
      <c r="A105" s="75"/>
      <c r="B105" s="77"/>
      <c r="C105" s="75"/>
      <c r="D105" s="71"/>
      <c r="E105" s="71"/>
      <c r="F105" s="71"/>
      <c r="G105" s="71"/>
      <c r="H105" s="77"/>
      <c r="I105" s="71"/>
      <c r="J105" s="71"/>
      <c r="K105" s="71"/>
      <c r="L105" s="71"/>
      <c r="M105" s="151"/>
      <c r="N105" s="75"/>
      <c r="O105" s="28"/>
      <c r="P105" s="28"/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8"/>
      <c r="AB105" s="68"/>
      <c r="AC105" s="68"/>
      <c r="AD105" s="68"/>
    </row>
    <row r="106" spans="1:30" ht="21" customHeight="1" x14ac:dyDescent="0.2">
      <c r="A106" s="75"/>
      <c r="B106" s="77"/>
      <c r="C106" s="75"/>
      <c r="D106" s="71"/>
      <c r="E106" s="71"/>
      <c r="F106" s="71"/>
      <c r="G106" s="71"/>
      <c r="H106" s="77"/>
      <c r="I106" s="71"/>
      <c r="J106" s="71"/>
      <c r="K106" s="71"/>
      <c r="L106" s="71"/>
      <c r="M106" s="151"/>
      <c r="N106" s="75"/>
      <c r="O106" s="28"/>
      <c r="P106" s="28"/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8"/>
      <c r="AB106" s="68"/>
      <c r="AC106" s="68"/>
      <c r="AD106" s="68"/>
    </row>
    <row r="107" spans="1:30" ht="21" customHeight="1" x14ac:dyDescent="0.2">
      <c r="A107" s="75"/>
      <c r="J107" s="71"/>
      <c r="K107" s="71"/>
      <c r="L107" s="71"/>
      <c r="M107" s="151"/>
      <c r="N107" s="75"/>
      <c r="O107" s="28"/>
      <c r="P107" s="28"/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8"/>
      <c r="AB107" s="68"/>
      <c r="AC107" s="68"/>
      <c r="AD107" s="68"/>
    </row>
    <row r="108" spans="1:30" ht="21" customHeight="1" x14ac:dyDescent="0.2">
      <c r="M108" s="188"/>
      <c r="Y108" s="28"/>
      <c r="Z108" s="28"/>
      <c r="AA108" s="28"/>
      <c r="AB108" s="68"/>
      <c r="AC108" s="68"/>
      <c r="AD108" s="68"/>
    </row>
    <row r="109" spans="1:30" ht="21" customHeight="1" x14ac:dyDescent="0.2">
      <c r="Y109" s="28"/>
      <c r="Z109" s="28"/>
      <c r="AA109" s="28"/>
      <c r="AB109" s="68"/>
      <c r="AC109" s="68"/>
      <c r="AD109" s="68"/>
    </row>
    <row r="110" spans="1:30" ht="21" customHeight="1" x14ac:dyDescent="0.2">
      <c r="AD110" s="68"/>
    </row>
    <row r="111" spans="1:30" ht="21" customHeight="1" x14ac:dyDescent="0.2"/>
    <row r="112" spans="1:30" ht="21" customHeight="1" x14ac:dyDescent="0.2"/>
    <row r="113" ht="21" customHeight="1" x14ac:dyDescent="0.2"/>
    <row r="114" ht="21" customHeight="1" x14ac:dyDescent="0.2"/>
    <row r="115" ht="21" customHeight="1" x14ac:dyDescent="0.2"/>
    <row r="116" ht="21" customHeight="1" x14ac:dyDescent="0.2"/>
  </sheetData>
  <mergeCells count="1">
    <mergeCell ref="N34:N36"/>
  </mergeCells>
  <conditionalFormatting sqref="C26:C27 C16:C18 C20:C21 C23:C24 I15 I25 C29:C32 C35:C37 I19 I17 I23 I21 I27 I30:I31 I36 I33:I34">
    <cfRule type="cellIs" dxfId="5" priority="3" stopIfTrue="1" operator="equal">
      <formula>0</formula>
    </cfRule>
    <cfRule type="cellIs" dxfId="4" priority="4" stopIfTrue="1" operator="equal">
      <formula>1</formula>
    </cfRule>
  </conditionalFormatting>
  <conditionalFormatting sqref="BB29:BB30 BB32:BB42 AJ15:AR20 AO31:AR31 AR44:AR53 AT44:BB53 AL21:AR30 AT15:BB27 AT28:BA42 AL31:AM42 AJ21:AK42 AN32:AR42">
    <cfRule type="cellIs" dxfId="3" priority="1" stopIfTrue="1" operator="equal">
      <formula>TRUE</formula>
    </cfRule>
  </conditionalFormatting>
  <conditionalFormatting sqref="BC44:BC53 BC15:BC42">
    <cfRule type="cellIs" dxfId="2" priority="2" stopIfTrue="1" operator="equal">
      <formula>0</formula>
    </cfRule>
  </conditionalFormatting>
  <printOptions horizontalCentered="1" verticalCentered="1" gridLines="1"/>
  <pageMargins left="0.25" right="0.25" top="0.25" bottom="0.75" header="0.3" footer="0.3"/>
  <pageSetup paperSize="17" scale="77" orientation="landscape" r:id="rId1"/>
  <headerFooter alignWithMargins="0">
    <oddFooter>&amp;R&amp;F
&amp;A
&amp;D</oddFooter>
  </headerFooter>
  <drawing r:id="rId2"/>
  <legacyDrawing r:id="rId3"/>
  <controls>
    <mc:AlternateContent xmlns:mc="http://schemas.openxmlformats.org/markup-compatibility/2006">
      <mc:Choice Requires="x14">
        <control shapeId="51274" r:id="rId4" name="OptionButton25">
          <controlPr defaultSize="0" autoLine="0" linkedCell="AM32" r:id="rId5">
            <anchor moveWithCells="1" sizeWithCells="1">
              <from>
                <xdr:col>10</xdr:col>
                <xdr:colOff>57150</xdr:colOff>
                <xdr:row>16</xdr:row>
                <xdr:rowOff>38100</xdr:rowOff>
              </from>
              <to>
                <xdr:col>11</xdr:col>
                <xdr:colOff>342900</xdr:colOff>
                <xdr:row>16</xdr:row>
                <xdr:rowOff>276225</xdr:rowOff>
              </to>
            </anchor>
          </controlPr>
        </control>
      </mc:Choice>
      <mc:Fallback>
        <control shapeId="51274" r:id="rId4" name="OptionButton25"/>
      </mc:Fallback>
    </mc:AlternateContent>
    <mc:AlternateContent xmlns:mc="http://schemas.openxmlformats.org/markup-compatibility/2006">
      <mc:Choice Requires="x14">
        <control shapeId="51273" r:id="rId6" name="OptionButton24">
          <controlPr defaultSize="0" autoLine="0" linkedCell="AL32" r:id="rId7">
            <anchor moveWithCells="1" sizeWithCells="1">
              <from>
                <xdr:col>9</xdr:col>
                <xdr:colOff>3981450</xdr:colOff>
                <xdr:row>16</xdr:row>
                <xdr:rowOff>38100</xdr:rowOff>
              </from>
              <to>
                <xdr:col>10</xdr:col>
                <xdr:colOff>28575</xdr:colOff>
                <xdr:row>16</xdr:row>
                <xdr:rowOff>285750</xdr:rowOff>
              </to>
            </anchor>
          </controlPr>
        </control>
      </mc:Choice>
      <mc:Fallback>
        <control shapeId="51273" r:id="rId6" name="OptionButton24"/>
      </mc:Fallback>
    </mc:AlternateContent>
    <mc:AlternateContent xmlns:mc="http://schemas.openxmlformats.org/markup-compatibility/2006">
      <mc:Choice Requires="x14">
        <control shapeId="51272" r:id="rId8" name="OptionButton18">
          <controlPr defaultSize="0" autoLine="0" linkedCell="AK32" r:id="rId9">
            <anchor moveWithCells="1" sizeWithCells="1">
              <from>
                <xdr:col>9</xdr:col>
                <xdr:colOff>3190875</xdr:colOff>
                <xdr:row>16</xdr:row>
                <xdr:rowOff>38100</xdr:rowOff>
              </from>
              <to>
                <xdr:col>9</xdr:col>
                <xdr:colOff>3952875</xdr:colOff>
                <xdr:row>16</xdr:row>
                <xdr:rowOff>276225</xdr:rowOff>
              </to>
            </anchor>
          </controlPr>
        </control>
      </mc:Choice>
      <mc:Fallback>
        <control shapeId="51272" r:id="rId8" name="OptionButton18"/>
      </mc:Fallback>
    </mc:AlternateContent>
    <mc:AlternateContent xmlns:mc="http://schemas.openxmlformats.org/markup-compatibility/2006">
      <mc:Choice Requires="x14">
        <control shapeId="51271" r:id="rId10" name="OptionButton4">
          <controlPr defaultSize="0" autoLine="0" linkedCell="AJ32" r:id="rId11">
            <anchor moveWithCells="1" sizeWithCells="1">
              <from>
                <xdr:col>9</xdr:col>
                <xdr:colOff>2628900</xdr:colOff>
                <xdr:row>16</xdr:row>
                <xdr:rowOff>38100</xdr:rowOff>
              </from>
              <to>
                <xdr:col>9</xdr:col>
                <xdr:colOff>3162300</xdr:colOff>
                <xdr:row>16</xdr:row>
                <xdr:rowOff>266700</xdr:rowOff>
              </to>
            </anchor>
          </controlPr>
        </control>
      </mc:Choice>
      <mc:Fallback>
        <control shapeId="51271" r:id="rId10" name="OptionButton4"/>
      </mc:Fallback>
    </mc:AlternateContent>
    <mc:AlternateContent xmlns:mc="http://schemas.openxmlformats.org/markup-compatibility/2006">
      <mc:Choice Requires="x14">
        <control shapeId="51270" r:id="rId12" name="OptionButton3">
          <controlPr defaultSize="0" autoLine="0" linkedCell="AL31" r:id="rId13">
            <anchor moveWithCells="1" sizeWithCells="1">
              <from>
                <xdr:col>10</xdr:col>
                <xdr:colOff>123825</xdr:colOff>
                <xdr:row>14</xdr:row>
                <xdr:rowOff>28575</xdr:rowOff>
              </from>
              <to>
                <xdr:col>11</xdr:col>
                <xdr:colOff>352425</xdr:colOff>
                <xdr:row>14</xdr:row>
                <xdr:rowOff>276225</xdr:rowOff>
              </to>
            </anchor>
          </controlPr>
        </control>
      </mc:Choice>
      <mc:Fallback>
        <control shapeId="51270" r:id="rId12" name="OptionButton3"/>
      </mc:Fallback>
    </mc:AlternateContent>
    <mc:AlternateContent xmlns:mc="http://schemas.openxmlformats.org/markup-compatibility/2006">
      <mc:Choice Requires="x14">
        <control shapeId="51269" r:id="rId14" name="OptionButton17">
          <controlPr defaultSize="0" autoLine="0" linkedCell="AM41" r:id="rId15">
            <anchor moveWithCells="1" sizeWithCells="1">
              <from>
                <xdr:col>9</xdr:col>
                <xdr:colOff>4676775</xdr:colOff>
                <xdr:row>33</xdr:row>
                <xdr:rowOff>28575</xdr:rowOff>
              </from>
              <to>
                <xdr:col>11</xdr:col>
                <xdr:colOff>361950</xdr:colOff>
                <xdr:row>33</xdr:row>
                <xdr:rowOff>276225</xdr:rowOff>
              </to>
            </anchor>
          </controlPr>
        </control>
      </mc:Choice>
      <mc:Fallback>
        <control shapeId="51269" r:id="rId14" name="OptionButton17"/>
      </mc:Fallback>
    </mc:AlternateContent>
    <mc:AlternateContent xmlns:mc="http://schemas.openxmlformats.org/markup-compatibility/2006">
      <mc:Choice Requires="x14">
        <control shapeId="51268" r:id="rId16" name="OptionButton16">
          <controlPr defaultSize="0" autoLine="0" linkedCell="AL41" r:id="rId17">
            <anchor moveWithCells="1" sizeWithCells="1">
              <from>
                <xdr:col>9</xdr:col>
                <xdr:colOff>3562350</xdr:colOff>
                <xdr:row>33</xdr:row>
                <xdr:rowOff>28575</xdr:rowOff>
              </from>
              <to>
                <xdr:col>9</xdr:col>
                <xdr:colOff>4657725</xdr:colOff>
                <xdr:row>33</xdr:row>
                <xdr:rowOff>266700</xdr:rowOff>
              </to>
            </anchor>
          </controlPr>
        </control>
      </mc:Choice>
      <mc:Fallback>
        <control shapeId="51268" r:id="rId16" name="OptionButton16"/>
      </mc:Fallback>
    </mc:AlternateContent>
    <mc:AlternateContent xmlns:mc="http://schemas.openxmlformats.org/markup-compatibility/2006">
      <mc:Choice Requires="x14">
        <control shapeId="51267" r:id="rId18" name="OptionButton13">
          <controlPr defaultSize="0" autoLine="0" linkedCell="AM37" r:id="rId19">
            <anchor moveWithCells="1" sizeWithCells="1">
              <from>
                <xdr:col>10</xdr:col>
                <xdr:colOff>57150</xdr:colOff>
                <xdr:row>26</xdr:row>
                <xdr:rowOff>38100</xdr:rowOff>
              </from>
              <to>
                <xdr:col>11</xdr:col>
                <xdr:colOff>342900</xdr:colOff>
                <xdr:row>26</xdr:row>
                <xdr:rowOff>276225</xdr:rowOff>
              </to>
            </anchor>
          </controlPr>
        </control>
      </mc:Choice>
      <mc:Fallback>
        <control shapeId="51267" r:id="rId18" name="OptionButton13"/>
      </mc:Fallback>
    </mc:AlternateContent>
    <mc:AlternateContent xmlns:mc="http://schemas.openxmlformats.org/markup-compatibility/2006">
      <mc:Choice Requires="x14">
        <control shapeId="51266" r:id="rId20" name="OptionButton10">
          <controlPr defaultSize="0" autoLine="0" linkedCell="AL37" r:id="rId21">
            <anchor moveWithCells="1" sizeWithCells="1">
              <from>
                <xdr:col>9</xdr:col>
                <xdr:colOff>3981450</xdr:colOff>
                <xdr:row>26</xdr:row>
                <xdr:rowOff>38100</xdr:rowOff>
              </from>
              <to>
                <xdr:col>10</xdr:col>
                <xdr:colOff>28575</xdr:colOff>
                <xdr:row>26</xdr:row>
                <xdr:rowOff>285750</xdr:rowOff>
              </to>
            </anchor>
          </controlPr>
        </control>
      </mc:Choice>
      <mc:Fallback>
        <control shapeId="51266" r:id="rId20" name="OptionButton10"/>
      </mc:Fallback>
    </mc:AlternateContent>
    <mc:AlternateContent xmlns:mc="http://schemas.openxmlformats.org/markup-compatibility/2006">
      <mc:Choice Requires="x14">
        <control shapeId="51265" r:id="rId22" name="OptionButton28">
          <controlPr defaultSize="0" autoLine="0" linkedCell="AP42" r:id="rId23">
            <anchor moveWithCells="1">
              <from>
                <xdr:col>11</xdr:col>
                <xdr:colOff>47625</xdr:colOff>
                <xdr:row>35</xdr:row>
                <xdr:rowOff>47625</xdr:rowOff>
              </from>
              <to>
                <xdr:col>11</xdr:col>
                <xdr:colOff>314325</xdr:colOff>
                <xdr:row>35</xdr:row>
                <xdr:rowOff>266700</xdr:rowOff>
              </to>
            </anchor>
          </controlPr>
        </control>
      </mc:Choice>
      <mc:Fallback>
        <control shapeId="51265" r:id="rId22" name="OptionButton28"/>
      </mc:Fallback>
    </mc:AlternateContent>
    <mc:AlternateContent xmlns:mc="http://schemas.openxmlformats.org/markup-compatibility/2006">
      <mc:Choice Requires="x14">
        <control shapeId="51264" r:id="rId24" name="OptionButton27">
          <controlPr defaultSize="0" autoLine="0" linkedCell="AO42" r:id="rId25">
            <anchor moveWithCells="1">
              <from>
                <xdr:col>10</xdr:col>
                <xdr:colOff>361950</xdr:colOff>
                <xdr:row>35</xdr:row>
                <xdr:rowOff>47625</xdr:rowOff>
              </from>
              <to>
                <xdr:col>11</xdr:col>
                <xdr:colOff>19050</xdr:colOff>
                <xdr:row>35</xdr:row>
                <xdr:rowOff>276225</xdr:rowOff>
              </to>
            </anchor>
          </controlPr>
        </control>
      </mc:Choice>
      <mc:Fallback>
        <control shapeId="51264" r:id="rId24" name="OptionButton27"/>
      </mc:Fallback>
    </mc:AlternateContent>
    <mc:AlternateContent xmlns:mc="http://schemas.openxmlformats.org/markup-compatibility/2006">
      <mc:Choice Requires="x14">
        <control shapeId="51263" r:id="rId26" name="OptionButton26">
          <controlPr defaultSize="0" autoLine="0" linkedCell="AN42" r:id="rId27">
            <anchor moveWithCells="1">
              <from>
                <xdr:col>10</xdr:col>
                <xdr:colOff>57150</xdr:colOff>
                <xdr:row>35</xdr:row>
                <xdr:rowOff>47625</xdr:rowOff>
              </from>
              <to>
                <xdr:col>10</xdr:col>
                <xdr:colOff>333375</xdr:colOff>
                <xdr:row>35</xdr:row>
                <xdr:rowOff>276225</xdr:rowOff>
              </to>
            </anchor>
          </controlPr>
        </control>
      </mc:Choice>
      <mc:Fallback>
        <control shapeId="51263" r:id="rId26" name="OptionButton26"/>
      </mc:Fallback>
    </mc:AlternateContent>
    <mc:AlternateContent xmlns:mc="http://schemas.openxmlformats.org/markup-compatibility/2006">
      <mc:Choice Requires="x14">
        <control shapeId="51262" r:id="rId28" name="OptionButton19">
          <controlPr defaultSize="0" autoLine="0" linkedCell="AM42" r:id="rId29">
            <anchor moveWithCells="1">
              <from>
                <xdr:col>9</xdr:col>
                <xdr:colOff>4448175</xdr:colOff>
                <xdr:row>35</xdr:row>
                <xdr:rowOff>47625</xdr:rowOff>
              </from>
              <to>
                <xdr:col>9</xdr:col>
                <xdr:colOff>4724400</xdr:colOff>
                <xdr:row>35</xdr:row>
                <xdr:rowOff>276225</xdr:rowOff>
              </to>
            </anchor>
          </controlPr>
        </control>
      </mc:Choice>
      <mc:Fallback>
        <control shapeId="51262" r:id="rId28" name="OptionButton19"/>
      </mc:Fallback>
    </mc:AlternateContent>
    <mc:AlternateContent xmlns:mc="http://schemas.openxmlformats.org/markup-compatibility/2006">
      <mc:Choice Requires="x14">
        <control shapeId="51261" r:id="rId30" name="OptionButton7">
          <controlPr defaultSize="0" autoLine="0" linkedCell="AL42" r:id="rId31">
            <anchor moveWithCells="1">
              <from>
                <xdr:col>9</xdr:col>
                <xdr:colOff>4143375</xdr:colOff>
                <xdr:row>35</xdr:row>
                <xdr:rowOff>47625</xdr:rowOff>
              </from>
              <to>
                <xdr:col>9</xdr:col>
                <xdr:colOff>4419600</xdr:colOff>
                <xdr:row>35</xdr:row>
                <xdr:rowOff>276225</xdr:rowOff>
              </to>
            </anchor>
          </controlPr>
        </control>
      </mc:Choice>
      <mc:Fallback>
        <control shapeId="51261" r:id="rId30" name="OptionButton7"/>
      </mc:Fallback>
    </mc:AlternateContent>
    <mc:AlternateContent xmlns:mc="http://schemas.openxmlformats.org/markup-compatibility/2006">
      <mc:Choice Requires="x14">
        <control shapeId="51260" r:id="rId32" name="OptionButton2">
          <controlPr defaultSize="0" autoLine="0" linkedCell="AK42" r:id="rId33">
            <anchor moveWithCells="1">
              <from>
                <xdr:col>9</xdr:col>
                <xdr:colOff>3848100</xdr:colOff>
                <xdr:row>35</xdr:row>
                <xdr:rowOff>47625</xdr:rowOff>
              </from>
              <to>
                <xdr:col>9</xdr:col>
                <xdr:colOff>4124325</xdr:colOff>
                <xdr:row>35</xdr:row>
                <xdr:rowOff>276225</xdr:rowOff>
              </to>
            </anchor>
          </controlPr>
        </control>
      </mc:Choice>
      <mc:Fallback>
        <control shapeId="51260" r:id="rId32" name="OptionButton2"/>
      </mc:Fallback>
    </mc:AlternateContent>
    <mc:AlternateContent xmlns:mc="http://schemas.openxmlformats.org/markup-compatibility/2006">
      <mc:Choice Requires="x14">
        <control shapeId="51259" r:id="rId34" name="OptionButton1">
          <controlPr defaultSize="0" autoLine="0" linkedCell="AJ42" r:id="rId35">
            <anchor moveWithCells="1">
              <from>
                <xdr:col>9</xdr:col>
                <xdr:colOff>3543300</xdr:colOff>
                <xdr:row>35</xdr:row>
                <xdr:rowOff>47625</xdr:rowOff>
              </from>
              <to>
                <xdr:col>9</xdr:col>
                <xdr:colOff>3819525</xdr:colOff>
                <xdr:row>35</xdr:row>
                <xdr:rowOff>276225</xdr:rowOff>
              </to>
            </anchor>
          </controlPr>
        </control>
      </mc:Choice>
      <mc:Fallback>
        <control shapeId="51259" r:id="rId34" name="OptionButton1"/>
      </mc:Fallback>
    </mc:AlternateContent>
    <mc:AlternateContent xmlns:mc="http://schemas.openxmlformats.org/markup-compatibility/2006">
      <mc:Choice Requires="x14">
        <control shapeId="51258" r:id="rId36" name="OptionButton79">
          <controlPr defaultSize="0" autoLine="0" linkedCell="AK22" r:id="rId37">
            <anchor moveWithCells="1">
              <from>
                <xdr:col>5</xdr:col>
                <xdr:colOff>47625</xdr:colOff>
                <xdr:row>25</xdr:row>
                <xdr:rowOff>76200</xdr:rowOff>
              </from>
              <to>
                <xdr:col>5</xdr:col>
                <xdr:colOff>466725</xdr:colOff>
                <xdr:row>26</xdr:row>
                <xdr:rowOff>38100</xdr:rowOff>
              </to>
            </anchor>
          </controlPr>
        </control>
      </mc:Choice>
      <mc:Fallback>
        <control shapeId="51258" r:id="rId36" name="OptionButton79"/>
      </mc:Fallback>
    </mc:AlternateContent>
    <mc:AlternateContent xmlns:mc="http://schemas.openxmlformats.org/markup-compatibility/2006">
      <mc:Choice Requires="x14">
        <control shapeId="51257" r:id="rId38" name="OptionButton78">
          <controlPr defaultSize="0" autoLine="0" linkedCell="AJ22" r:id="rId39">
            <anchor moveWithCells="1">
              <from>
                <xdr:col>4</xdr:col>
                <xdr:colOff>104775</xdr:colOff>
                <xdr:row>25</xdr:row>
                <xdr:rowOff>76200</xdr:rowOff>
              </from>
              <to>
                <xdr:col>4</xdr:col>
                <xdr:colOff>476250</xdr:colOff>
                <xdr:row>26</xdr:row>
                <xdr:rowOff>19050</xdr:rowOff>
              </to>
            </anchor>
          </controlPr>
        </control>
      </mc:Choice>
      <mc:Fallback>
        <control shapeId="51257" r:id="rId38" name="OptionButton78"/>
      </mc:Fallback>
    </mc:AlternateContent>
    <mc:AlternateContent xmlns:mc="http://schemas.openxmlformats.org/markup-compatibility/2006">
      <mc:Choice Requires="x14">
        <control shapeId="51256" r:id="rId40" name="OptionButton77">
          <controlPr defaultSize="0" autoLine="0" linkedCell="AK21" r:id="rId41">
            <anchor moveWithCells="1" sizeWithCells="1">
              <from>
                <xdr:col>4</xdr:col>
                <xdr:colOff>447675</xdr:colOff>
                <xdr:row>23</xdr:row>
                <xdr:rowOff>57150</xdr:rowOff>
              </from>
              <to>
                <xdr:col>5</xdr:col>
                <xdr:colOff>428625</xdr:colOff>
                <xdr:row>23</xdr:row>
                <xdr:rowOff>285750</xdr:rowOff>
              </to>
            </anchor>
          </controlPr>
        </control>
      </mc:Choice>
      <mc:Fallback>
        <control shapeId="51256" r:id="rId40" name="OptionButton77"/>
      </mc:Fallback>
    </mc:AlternateContent>
    <mc:AlternateContent xmlns:mc="http://schemas.openxmlformats.org/markup-compatibility/2006">
      <mc:Choice Requires="x14">
        <control shapeId="51255" r:id="rId42" name="OptionButton76">
          <controlPr defaultSize="0" autoLine="0" linkedCell="AJ21" r:id="rId43">
            <anchor moveWithCells="1" sizeWithCells="1">
              <from>
                <xdr:col>4</xdr:col>
                <xdr:colOff>28575</xdr:colOff>
                <xdr:row>23</xdr:row>
                <xdr:rowOff>47625</xdr:rowOff>
              </from>
              <to>
                <xdr:col>4</xdr:col>
                <xdr:colOff>419100</xdr:colOff>
                <xdr:row>23</xdr:row>
                <xdr:rowOff>285750</xdr:rowOff>
              </to>
            </anchor>
          </controlPr>
        </control>
      </mc:Choice>
      <mc:Fallback>
        <control shapeId="51255" r:id="rId42" name="OptionButton76"/>
      </mc:Fallback>
    </mc:AlternateContent>
    <mc:AlternateContent xmlns:mc="http://schemas.openxmlformats.org/markup-compatibility/2006">
      <mc:Choice Requires="x14">
        <control shapeId="51254" r:id="rId44" name="OptionButton74">
          <controlPr defaultSize="0" autoLine="0" linkedCell="AK20" r:id="rId45">
            <anchor moveWithCells="1">
              <from>
                <xdr:col>4</xdr:col>
                <xdr:colOff>457200</xdr:colOff>
                <xdr:row>22</xdr:row>
                <xdr:rowOff>76200</xdr:rowOff>
              </from>
              <to>
                <xdr:col>5</xdr:col>
                <xdr:colOff>428625</xdr:colOff>
                <xdr:row>23</xdr:row>
                <xdr:rowOff>19050</xdr:rowOff>
              </to>
            </anchor>
          </controlPr>
        </control>
      </mc:Choice>
      <mc:Fallback>
        <control shapeId="51254" r:id="rId44" name="OptionButton74"/>
      </mc:Fallback>
    </mc:AlternateContent>
    <mc:AlternateContent xmlns:mc="http://schemas.openxmlformats.org/markup-compatibility/2006">
      <mc:Choice Requires="x14">
        <control shapeId="51253" r:id="rId46" name="OptionButton73">
          <controlPr defaultSize="0" autoLine="0" linkedCell="AJ20" r:id="rId47">
            <anchor moveWithCells="1">
              <from>
                <xdr:col>4</xdr:col>
                <xdr:colOff>19050</xdr:colOff>
                <xdr:row>22</xdr:row>
                <xdr:rowOff>76200</xdr:rowOff>
              </from>
              <to>
                <xdr:col>4</xdr:col>
                <xdr:colOff>438150</xdr:colOff>
                <xdr:row>23</xdr:row>
                <xdr:rowOff>19050</xdr:rowOff>
              </to>
            </anchor>
          </controlPr>
        </control>
      </mc:Choice>
      <mc:Fallback>
        <control shapeId="51253" r:id="rId46" name="OptionButton73"/>
      </mc:Fallback>
    </mc:AlternateContent>
    <mc:AlternateContent xmlns:mc="http://schemas.openxmlformats.org/markup-compatibility/2006">
      <mc:Choice Requires="x14">
        <control shapeId="51252" r:id="rId48" name="OptionButton72">
          <controlPr defaultSize="0" autoLine="0" linkedCell="AK19" r:id="rId49">
            <anchor moveWithCells="1" sizeWithCells="1">
              <from>
                <xdr:col>4</xdr:col>
                <xdr:colOff>476250</xdr:colOff>
                <xdr:row>20</xdr:row>
                <xdr:rowOff>47625</xdr:rowOff>
              </from>
              <to>
                <xdr:col>5</xdr:col>
                <xdr:colOff>457200</xdr:colOff>
                <xdr:row>20</xdr:row>
                <xdr:rowOff>295275</xdr:rowOff>
              </to>
            </anchor>
          </controlPr>
        </control>
      </mc:Choice>
      <mc:Fallback>
        <control shapeId="51252" r:id="rId48" name="OptionButton72"/>
      </mc:Fallback>
    </mc:AlternateContent>
    <mc:AlternateContent xmlns:mc="http://schemas.openxmlformats.org/markup-compatibility/2006">
      <mc:Choice Requires="x14">
        <control shapeId="51251" r:id="rId50" name="OptionButton71">
          <controlPr defaultSize="0" autoLine="0" linkedCell="AJ19" r:id="rId51">
            <anchor moveWithCells="1" sizeWithCells="1">
              <from>
                <xdr:col>4</xdr:col>
                <xdr:colOff>28575</xdr:colOff>
                <xdr:row>20</xdr:row>
                <xdr:rowOff>47625</xdr:rowOff>
              </from>
              <to>
                <xdr:col>4</xdr:col>
                <xdr:colOff>447675</xdr:colOff>
                <xdr:row>20</xdr:row>
                <xdr:rowOff>285750</xdr:rowOff>
              </to>
            </anchor>
          </controlPr>
        </control>
      </mc:Choice>
      <mc:Fallback>
        <control shapeId="51251" r:id="rId50" name="OptionButton71"/>
      </mc:Fallback>
    </mc:AlternateContent>
    <mc:AlternateContent xmlns:mc="http://schemas.openxmlformats.org/markup-compatibility/2006">
      <mc:Choice Requires="x14">
        <control shapeId="51250" r:id="rId52" name="OptionButton70">
          <controlPr defaultSize="0" autoLine="0" linkedCell="AK18" r:id="rId53">
            <anchor moveWithCells="1" sizeWithCells="1">
              <from>
                <xdr:col>4</xdr:col>
                <xdr:colOff>476250</xdr:colOff>
                <xdr:row>19</xdr:row>
                <xdr:rowOff>47625</xdr:rowOff>
              </from>
              <to>
                <xdr:col>5</xdr:col>
                <xdr:colOff>457200</xdr:colOff>
                <xdr:row>19</xdr:row>
                <xdr:rowOff>295275</xdr:rowOff>
              </to>
            </anchor>
          </controlPr>
        </control>
      </mc:Choice>
      <mc:Fallback>
        <control shapeId="51250" r:id="rId52" name="OptionButton70"/>
      </mc:Fallback>
    </mc:AlternateContent>
    <mc:AlternateContent xmlns:mc="http://schemas.openxmlformats.org/markup-compatibility/2006">
      <mc:Choice Requires="x14">
        <control shapeId="51249" r:id="rId54" name="OptionButton69">
          <controlPr defaultSize="0" autoLine="0" linkedCell="AJ18" r:id="rId55">
            <anchor moveWithCells="1" sizeWithCells="1">
              <from>
                <xdr:col>4</xdr:col>
                <xdr:colOff>28575</xdr:colOff>
                <xdr:row>19</xdr:row>
                <xdr:rowOff>57150</xdr:rowOff>
              </from>
              <to>
                <xdr:col>4</xdr:col>
                <xdr:colOff>447675</xdr:colOff>
                <xdr:row>19</xdr:row>
                <xdr:rowOff>304800</xdr:rowOff>
              </to>
            </anchor>
          </controlPr>
        </control>
      </mc:Choice>
      <mc:Fallback>
        <control shapeId="51249" r:id="rId54" name="OptionButton69"/>
      </mc:Fallback>
    </mc:AlternateContent>
    <mc:AlternateContent xmlns:mc="http://schemas.openxmlformats.org/markup-compatibility/2006">
      <mc:Choice Requires="x14">
        <control shapeId="51248" r:id="rId56" name="OptionButton60">
          <controlPr defaultSize="0" autoLine="0" linkedCell="AK23" r:id="rId57">
            <anchor moveWithCells="1" sizeWithCells="1">
              <from>
                <xdr:col>5</xdr:col>
                <xdr:colOff>47625</xdr:colOff>
                <xdr:row>26</xdr:row>
                <xdr:rowOff>57150</xdr:rowOff>
              </from>
              <to>
                <xdr:col>5</xdr:col>
                <xdr:colOff>476250</xdr:colOff>
                <xdr:row>26</xdr:row>
                <xdr:rowOff>276225</xdr:rowOff>
              </to>
            </anchor>
          </controlPr>
        </control>
      </mc:Choice>
      <mc:Fallback>
        <control shapeId="51248" r:id="rId56" name="OptionButton60"/>
      </mc:Fallback>
    </mc:AlternateContent>
    <mc:AlternateContent xmlns:mc="http://schemas.openxmlformats.org/markup-compatibility/2006">
      <mc:Choice Requires="x14">
        <control shapeId="51247" r:id="rId58" name="OptionButton59">
          <controlPr defaultSize="0" autoLine="0" linkedCell="AJ23" r:id="rId59">
            <anchor moveWithCells="1" sizeWithCells="1">
              <from>
                <xdr:col>4</xdr:col>
                <xdr:colOff>114300</xdr:colOff>
                <xdr:row>26</xdr:row>
                <xdr:rowOff>57150</xdr:rowOff>
              </from>
              <to>
                <xdr:col>4</xdr:col>
                <xdr:colOff>476250</xdr:colOff>
                <xdr:row>26</xdr:row>
                <xdr:rowOff>276225</xdr:rowOff>
              </to>
            </anchor>
          </controlPr>
        </control>
      </mc:Choice>
      <mc:Fallback>
        <control shapeId="51247" r:id="rId58" name="OptionButton59"/>
      </mc:Fallback>
    </mc:AlternateContent>
    <mc:AlternateContent xmlns:mc="http://schemas.openxmlformats.org/markup-compatibility/2006">
      <mc:Choice Requires="x14">
        <control shapeId="51246" r:id="rId60" name="OptionButton57">
          <controlPr defaultSize="0" autoLine="0" linkedCell="AL39" r:id="rId61">
            <anchor moveWithCells="1">
              <from>
                <xdr:col>11</xdr:col>
                <xdr:colOff>76200</xdr:colOff>
                <xdr:row>30</xdr:row>
                <xdr:rowOff>28575</xdr:rowOff>
              </from>
              <to>
                <xdr:col>11</xdr:col>
                <xdr:colOff>352425</xdr:colOff>
                <xdr:row>30</xdr:row>
                <xdr:rowOff>257175</xdr:rowOff>
              </to>
            </anchor>
          </controlPr>
        </control>
      </mc:Choice>
      <mc:Fallback>
        <control shapeId="51246" r:id="rId60" name="OptionButton57"/>
      </mc:Fallback>
    </mc:AlternateContent>
    <mc:AlternateContent xmlns:mc="http://schemas.openxmlformats.org/markup-compatibility/2006">
      <mc:Choice Requires="x14">
        <control shapeId="51245" r:id="rId62" name="OptionButton56">
          <controlPr defaultSize="0" autoLine="0" linkedCell="AK39" r:id="rId63">
            <anchor moveWithCells="1">
              <from>
                <xdr:col>10</xdr:col>
                <xdr:colOff>390525</xdr:colOff>
                <xdr:row>30</xdr:row>
                <xdr:rowOff>28575</xdr:rowOff>
              </from>
              <to>
                <xdr:col>11</xdr:col>
                <xdr:colOff>38100</xdr:colOff>
                <xdr:row>30</xdr:row>
                <xdr:rowOff>257175</xdr:rowOff>
              </to>
            </anchor>
          </controlPr>
        </control>
      </mc:Choice>
      <mc:Fallback>
        <control shapeId="51245" r:id="rId62" name="OptionButton56"/>
      </mc:Fallback>
    </mc:AlternateContent>
    <mc:AlternateContent xmlns:mc="http://schemas.openxmlformats.org/markup-compatibility/2006">
      <mc:Choice Requires="x14">
        <control shapeId="51244" r:id="rId64" name="OptionButton55">
          <controlPr defaultSize="0" autoLine="0" linkedCell="AJ39" r:id="rId65">
            <anchor moveWithCells="1">
              <from>
                <xdr:col>10</xdr:col>
                <xdr:colOff>85725</xdr:colOff>
                <xdr:row>30</xdr:row>
                <xdr:rowOff>28575</xdr:rowOff>
              </from>
              <to>
                <xdr:col>10</xdr:col>
                <xdr:colOff>361950</xdr:colOff>
                <xdr:row>30</xdr:row>
                <xdr:rowOff>257175</xdr:rowOff>
              </to>
            </anchor>
          </controlPr>
        </control>
      </mc:Choice>
      <mc:Fallback>
        <control shapeId="51244" r:id="rId64" name="OptionButton55"/>
      </mc:Fallback>
    </mc:AlternateContent>
    <mc:AlternateContent xmlns:mc="http://schemas.openxmlformats.org/markup-compatibility/2006">
      <mc:Choice Requires="x14">
        <control shapeId="51243" r:id="rId66" name="OptionButton54">
          <controlPr defaultSize="0" autoLine="0" linkedCell="AL38" r:id="rId67">
            <anchor moveWithCells="1">
              <from>
                <xdr:col>11</xdr:col>
                <xdr:colOff>85725</xdr:colOff>
                <xdr:row>29</xdr:row>
                <xdr:rowOff>38100</xdr:rowOff>
              </from>
              <to>
                <xdr:col>11</xdr:col>
                <xdr:colOff>361950</xdr:colOff>
                <xdr:row>29</xdr:row>
                <xdr:rowOff>266700</xdr:rowOff>
              </to>
            </anchor>
          </controlPr>
        </control>
      </mc:Choice>
      <mc:Fallback>
        <control shapeId="51243" r:id="rId66" name="OptionButton54"/>
      </mc:Fallback>
    </mc:AlternateContent>
    <mc:AlternateContent xmlns:mc="http://schemas.openxmlformats.org/markup-compatibility/2006">
      <mc:Choice Requires="x14">
        <control shapeId="51242" r:id="rId68" name="OptionButton53">
          <controlPr defaultSize="0" autoLine="0" linkedCell="AK38" r:id="rId69">
            <anchor moveWithCells="1">
              <from>
                <xdr:col>10</xdr:col>
                <xdr:colOff>390525</xdr:colOff>
                <xdr:row>29</xdr:row>
                <xdr:rowOff>38100</xdr:rowOff>
              </from>
              <to>
                <xdr:col>11</xdr:col>
                <xdr:colOff>38100</xdr:colOff>
                <xdr:row>29</xdr:row>
                <xdr:rowOff>266700</xdr:rowOff>
              </to>
            </anchor>
          </controlPr>
        </control>
      </mc:Choice>
      <mc:Fallback>
        <control shapeId="51242" r:id="rId68" name="OptionButton53"/>
      </mc:Fallback>
    </mc:AlternateContent>
    <mc:AlternateContent xmlns:mc="http://schemas.openxmlformats.org/markup-compatibility/2006">
      <mc:Choice Requires="x14">
        <control shapeId="51241" r:id="rId70" name="OptionButton52">
          <controlPr defaultSize="0" autoLine="0" linkedCell="AJ38" r:id="rId71">
            <anchor moveWithCells="1">
              <from>
                <xdr:col>10</xdr:col>
                <xdr:colOff>85725</xdr:colOff>
                <xdr:row>29</xdr:row>
                <xdr:rowOff>38100</xdr:rowOff>
              </from>
              <to>
                <xdr:col>10</xdr:col>
                <xdr:colOff>361950</xdr:colOff>
                <xdr:row>29</xdr:row>
                <xdr:rowOff>266700</xdr:rowOff>
              </to>
            </anchor>
          </controlPr>
        </control>
      </mc:Choice>
      <mc:Fallback>
        <control shapeId="51241" r:id="rId70" name="OptionButton52"/>
      </mc:Fallback>
    </mc:AlternateContent>
    <mc:AlternateContent xmlns:mc="http://schemas.openxmlformats.org/markup-compatibility/2006">
      <mc:Choice Requires="x14">
        <control shapeId="51240" r:id="rId72" name="OptionButton51">
          <controlPr defaultSize="0" autoLine="0" linkedCell="AM36" r:id="rId73">
            <anchor moveWithCells="1">
              <from>
                <xdr:col>11</xdr:col>
                <xdr:colOff>57150</xdr:colOff>
                <xdr:row>24</xdr:row>
                <xdr:rowOff>47625</xdr:rowOff>
              </from>
              <to>
                <xdr:col>11</xdr:col>
                <xdr:colOff>333375</xdr:colOff>
                <xdr:row>24</xdr:row>
                <xdr:rowOff>276225</xdr:rowOff>
              </to>
            </anchor>
          </controlPr>
        </control>
      </mc:Choice>
      <mc:Fallback>
        <control shapeId="51240" r:id="rId72" name="OptionButton51"/>
      </mc:Fallback>
    </mc:AlternateContent>
    <mc:AlternateContent xmlns:mc="http://schemas.openxmlformats.org/markup-compatibility/2006">
      <mc:Choice Requires="x14">
        <control shapeId="51239" r:id="rId74" name="OptionButton50">
          <controlPr defaultSize="0" autoLine="0" linkedCell="AL36" r:id="rId75">
            <anchor moveWithCells="1">
              <from>
                <xdr:col>10</xdr:col>
                <xdr:colOff>352425</xdr:colOff>
                <xdr:row>24</xdr:row>
                <xdr:rowOff>47625</xdr:rowOff>
              </from>
              <to>
                <xdr:col>11</xdr:col>
                <xdr:colOff>19050</xdr:colOff>
                <xdr:row>24</xdr:row>
                <xdr:rowOff>276225</xdr:rowOff>
              </to>
            </anchor>
          </controlPr>
        </control>
      </mc:Choice>
      <mc:Fallback>
        <control shapeId="51239" r:id="rId74" name="OptionButton50"/>
      </mc:Fallback>
    </mc:AlternateContent>
    <mc:AlternateContent xmlns:mc="http://schemas.openxmlformats.org/markup-compatibility/2006">
      <mc:Choice Requires="x14">
        <control shapeId="51238" r:id="rId76" name="OptionButton49">
          <controlPr defaultSize="0" autoLine="0" linkedCell="AK36" r:id="rId77">
            <anchor moveWithCells="1">
              <from>
                <xdr:col>10</xdr:col>
                <xdr:colOff>28575</xdr:colOff>
                <xdr:row>24</xdr:row>
                <xdr:rowOff>47625</xdr:rowOff>
              </from>
              <to>
                <xdr:col>10</xdr:col>
                <xdr:colOff>304800</xdr:colOff>
                <xdr:row>24</xdr:row>
                <xdr:rowOff>276225</xdr:rowOff>
              </to>
            </anchor>
          </controlPr>
        </control>
      </mc:Choice>
      <mc:Fallback>
        <control shapeId="51238" r:id="rId76" name="OptionButton49"/>
      </mc:Fallback>
    </mc:AlternateContent>
    <mc:AlternateContent xmlns:mc="http://schemas.openxmlformats.org/markup-compatibility/2006">
      <mc:Choice Requires="x14">
        <control shapeId="51237" r:id="rId78" name="OptionButton48">
          <controlPr defaultSize="0" autoLine="0" linkedCell="AJ36" r:id="rId79">
            <anchor moveWithCells="1">
              <from>
                <xdr:col>9</xdr:col>
                <xdr:colOff>4410075</xdr:colOff>
                <xdr:row>24</xdr:row>
                <xdr:rowOff>47625</xdr:rowOff>
              </from>
              <to>
                <xdr:col>9</xdr:col>
                <xdr:colOff>4686300</xdr:colOff>
                <xdr:row>24</xdr:row>
                <xdr:rowOff>276225</xdr:rowOff>
              </to>
            </anchor>
          </controlPr>
        </control>
      </mc:Choice>
      <mc:Fallback>
        <control shapeId="51237" r:id="rId78" name="OptionButton48"/>
      </mc:Fallback>
    </mc:AlternateContent>
    <mc:AlternateContent xmlns:mc="http://schemas.openxmlformats.org/markup-compatibility/2006">
      <mc:Choice Requires="x14">
        <control shapeId="51236" r:id="rId80" name="OptionButton43">
          <controlPr defaultSize="0" autoLine="0" linkedCell="AK29" r:id="rId81">
            <anchor moveWithCells="1" sizeWithCells="1">
              <from>
                <xdr:col>4</xdr:col>
                <xdr:colOff>457200</xdr:colOff>
                <xdr:row>35</xdr:row>
                <xdr:rowOff>66675</xdr:rowOff>
              </from>
              <to>
                <xdr:col>5</xdr:col>
                <xdr:colOff>438150</xdr:colOff>
                <xdr:row>36</xdr:row>
                <xdr:rowOff>0</xdr:rowOff>
              </to>
            </anchor>
          </controlPr>
        </control>
      </mc:Choice>
      <mc:Fallback>
        <control shapeId="51236" r:id="rId80" name="OptionButton43"/>
      </mc:Fallback>
    </mc:AlternateContent>
    <mc:AlternateContent xmlns:mc="http://schemas.openxmlformats.org/markup-compatibility/2006">
      <mc:Choice Requires="x14">
        <control shapeId="51235" r:id="rId82" name="OptionButton42">
          <controlPr defaultSize="0" autoLine="0" linkedCell="AJ29" r:id="rId83">
            <anchor moveWithCells="1" sizeWithCells="1">
              <from>
                <xdr:col>4</xdr:col>
                <xdr:colOff>9525</xdr:colOff>
                <xdr:row>35</xdr:row>
                <xdr:rowOff>66675</xdr:rowOff>
              </from>
              <to>
                <xdr:col>4</xdr:col>
                <xdr:colOff>438150</xdr:colOff>
                <xdr:row>36</xdr:row>
                <xdr:rowOff>9525</xdr:rowOff>
              </to>
            </anchor>
          </controlPr>
        </control>
      </mc:Choice>
      <mc:Fallback>
        <control shapeId="51235" r:id="rId82" name="OptionButton42"/>
      </mc:Fallback>
    </mc:AlternateContent>
    <mc:AlternateContent xmlns:mc="http://schemas.openxmlformats.org/markup-compatibility/2006">
      <mc:Choice Requires="x14">
        <control shapeId="51234" r:id="rId84" name="OptionButton36">
          <controlPr defaultSize="0" autoLine="0" linkedCell="AJ28" r:id="rId85">
            <anchor moveWithCells="1">
              <from>
                <xdr:col>4</xdr:col>
                <xdr:colOff>9525</xdr:colOff>
                <xdr:row>34</xdr:row>
                <xdr:rowOff>76200</xdr:rowOff>
              </from>
              <to>
                <xdr:col>4</xdr:col>
                <xdr:colOff>438150</xdr:colOff>
                <xdr:row>35</xdr:row>
                <xdr:rowOff>57150</xdr:rowOff>
              </to>
            </anchor>
          </controlPr>
        </control>
      </mc:Choice>
      <mc:Fallback>
        <control shapeId="51234" r:id="rId84" name="OptionButton36"/>
      </mc:Fallback>
    </mc:AlternateContent>
    <mc:AlternateContent xmlns:mc="http://schemas.openxmlformats.org/markup-compatibility/2006">
      <mc:Choice Requires="x14">
        <control shapeId="51233" r:id="rId86" name="OptionButton12">
          <controlPr defaultSize="0" autoLine="0" linkedCell="AK41" r:id="rId87">
            <anchor moveWithCells="1" sizeWithCells="1">
              <from>
                <xdr:col>9</xdr:col>
                <xdr:colOff>3009900</xdr:colOff>
                <xdr:row>33</xdr:row>
                <xdr:rowOff>19050</xdr:rowOff>
              </from>
              <to>
                <xdr:col>9</xdr:col>
                <xdr:colOff>3543300</xdr:colOff>
                <xdr:row>33</xdr:row>
                <xdr:rowOff>266700</xdr:rowOff>
              </to>
            </anchor>
          </controlPr>
        </control>
      </mc:Choice>
      <mc:Fallback>
        <control shapeId="51233" r:id="rId86" name="OptionButton12"/>
      </mc:Fallback>
    </mc:AlternateContent>
    <mc:AlternateContent xmlns:mc="http://schemas.openxmlformats.org/markup-compatibility/2006">
      <mc:Choice Requires="x14">
        <control shapeId="51232" r:id="rId88" name="OptionButton11">
          <controlPr defaultSize="0" autoLine="0" linkedCell="AJ41" r:id="rId89">
            <anchor moveWithCells="1" sizeWithCells="1">
              <from>
                <xdr:col>9</xdr:col>
                <xdr:colOff>2447925</xdr:colOff>
                <xdr:row>33</xdr:row>
                <xdr:rowOff>28575</xdr:rowOff>
              </from>
              <to>
                <xdr:col>9</xdr:col>
                <xdr:colOff>2971800</xdr:colOff>
                <xdr:row>33</xdr:row>
                <xdr:rowOff>266700</xdr:rowOff>
              </to>
            </anchor>
          </controlPr>
        </control>
      </mc:Choice>
      <mc:Fallback>
        <control shapeId="51232" r:id="rId88" name="OptionButton11"/>
      </mc:Fallback>
    </mc:AlternateContent>
    <mc:AlternateContent xmlns:mc="http://schemas.openxmlformats.org/markup-compatibility/2006">
      <mc:Choice Requires="x14">
        <control shapeId="51231" r:id="rId90" name="OptionButton9">
          <controlPr defaultSize="0" autoLine="0" linkedCell="AJ35" r:id="rId91">
            <anchor moveWithCells="1" sizeWithCells="1">
              <from>
                <xdr:col>10</xdr:col>
                <xdr:colOff>85725</xdr:colOff>
                <xdr:row>22</xdr:row>
                <xdr:rowOff>38100</xdr:rowOff>
              </from>
              <to>
                <xdr:col>10</xdr:col>
                <xdr:colOff>485775</xdr:colOff>
                <xdr:row>22</xdr:row>
                <xdr:rowOff>238125</xdr:rowOff>
              </to>
            </anchor>
          </controlPr>
        </control>
      </mc:Choice>
      <mc:Fallback>
        <control shapeId="51231" r:id="rId90" name="OptionButton9"/>
      </mc:Fallback>
    </mc:AlternateContent>
    <mc:AlternateContent xmlns:mc="http://schemas.openxmlformats.org/markup-compatibility/2006">
      <mc:Choice Requires="x14">
        <control shapeId="51230" r:id="rId92" name="OptionButton8">
          <controlPr defaultSize="0" autoLine="0" linkedCell="AK35" r:id="rId93">
            <anchor moveWithCells="1" sizeWithCells="1">
              <from>
                <xdr:col>10</xdr:col>
                <xdr:colOff>561975</xdr:colOff>
                <xdr:row>22</xdr:row>
                <xdr:rowOff>38100</xdr:rowOff>
              </from>
              <to>
                <xdr:col>11</xdr:col>
                <xdr:colOff>371475</xdr:colOff>
                <xdr:row>22</xdr:row>
                <xdr:rowOff>257175</xdr:rowOff>
              </to>
            </anchor>
          </controlPr>
        </control>
      </mc:Choice>
      <mc:Fallback>
        <control shapeId="51230" r:id="rId92" name="OptionButton8"/>
      </mc:Fallback>
    </mc:AlternateContent>
    <mc:AlternateContent xmlns:mc="http://schemas.openxmlformats.org/markup-compatibility/2006">
      <mc:Choice Requires="x14">
        <control shapeId="51229" r:id="rId94" name="OptionButton6">
          <controlPr defaultSize="0" autoLine="0" linkedCell="AJ30" r:id="rId95">
            <anchor moveWithCells="1" sizeWithCells="1">
              <from>
                <xdr:col>4</xdr:col>
                <xdr:colOff>19050</xdr:colOff>
                <xdr:row>36</xdr:row>
                <xdr:rowOff>19050</xdr:rowOff>
              </from>
              <to>
                <xdr:col>4</xdr:col>
                <xdr:colOff>447675</xdr:colOff>
                <xdr:row>36</xdr:row>
                <xdr:rowOff>276225</xdr:rowOff>
              </to>
            </anchor>
          </controlPr>
        </control>
      </mc:Choice>
      <mc:Fallback>
        <control shapeId="51229" r:id="rId94" name="OptionButton6"/>
      </mc:Fallback>
    </mc:AlternateContent>
    <mc:AlternateContent xmlns:mc="http://schemas.openxmlformats.org/markup-compatibility/2006">
      <mc:Choice Requires="x14">
        <control shapeId="51228" r:id="rId96" name="OptionButton5">
          <controlPr defaultSize="0" autoLine="0" linkedCell="AK30" r:id="rId97">
            <anchor moveWithCells="1" sizeWithCells="1">
              <from>
                <xdr:col>4</xdr:col>
                <xdr:colOff>457200</xdr:colOff>
                <xdr:row>36</xdr:row>
                <xdr:rowOff>19050</xdr:rowOff>
              </from>
              <to>
                <xdr:col>5</xdr:col>
                <xdr:colOff>447675</xdr:colOff>
                <xdr:row>36</xdr:row>
                <xdr:rowOff>266700</xdr:rowOff>
              </to>
            </anchor>
          </controlPr>
        </control>
      </mc:Choice>
      <mc:Fallback>
        <control shapeId="51228" r:id="rId96" name="OptionButton5"/>
      </mc:Fallback>
    </mc:AlternateContent>
    <mc:AlternateContent xmlns:mc="http://schemas.openxmlformats.org/markup-compatibility/2006">
      <mc:Choice Requires="x14">
        <control shapeId="51227" r:id="rId98" name="OptionButton230">
          <controlPr defaultSize="0" autoLine="0" linkedCell="AJ17" r:id="rId99">
            <anchor moveWithCells="1" sizeWithCells="1">
              <from>
                <xdr:col>4</xdr:col>
                <xdr:colOff>19050</xdr:colOff>
                <xdr:row>17</xdr:row>
                <xdr:rowOff>38100</xdr:rowOff>
              </from>
              <to>
                <xdr:col>4</xdr:col>
                <xdr:colOff>438150</xdr:colOff>
                <xdr:row>17</xdr:row>
                <xdr:rowOff>285750</xdr:rowOff>
              </to>
            </anchor>
          </controlPr>
        </control>
      </mc:Choice>
      <mc:Fallback>
        <control shapeId="51227" r:id="rId98" name="OptionButton230"/>
      </mc:Fallback>
    </mc:AlternateContent>
    <mc:AlternateContent xmlns:mc="http://schemas.openxmlformats.org/markup-compatibility/2006">
      <mc:Choice Requires="x14">
        <control shapeId="51226" r:id="rId100" name="OptionButton215">
          <controlPr defaultSize="0" autoLine="0" linkedCell="AK28" r:id="rId101">
            <anchor moveWithCells="1">
              <from>
                <xdr:col>4</xdr:col>
                <xdr:colOff>466725</xdr:colOff>
                <xdr:row>34</xdr:row>
                <xdr:rowOff>76200</xdr:rowOff>
              </from>
              <to>
                <xdr:col>5</xdr:col>
                <xdr:colOff>428625</xdr:colOff>
                <xdr:row>35</xdr:row>
                <xdr:rowOff>57150</xdr:rowOff>
              </to>
            </anchor>
          </controlPr>
        </control>
      </mc:Choice>
      <mc:Fallback>
        <control shapeId="51226" r:id="rId100" name="OptionButton215"/>
      </mc:Fallback>
    </mc:AlternateContent>
    <mc:AlternateContent xmlns:mc="http://schemas.openxmlformats.org/markup-compatibility/2006">
      <mc:Choice Requires="x14">
        <control shapeId="51225" r:id="rId102" name="OptionButton210">
          <controlPr defaultSize="0" autoLine="0" linkedCell="AK15" r:id="rId103">
            <anchor moveWithCells="1" sizeWithCells="1">
              <from>
                <xdr:col>4</xdr:col>
                <xdr:colOff>466725</xdr:colOff>
                <xdr:row>15</xdr:row>
                <xdr:rowOff>38100</xdr:rowOff>
              </from>
              <to>
                <xdr:col>5</xdr:col>
                <xdr:colOff>447675</xdr:colOff>
                <xdr:row>15</xdr:row>
                <xdr:rowOff>285750</xdr:rowOff>
              </to>
            </anchor>
          </controlPr>
        </control>
      </mc:Choice>
      <mc:Fallback>
        <control shapeId="51225" r:id="rId102" name="OptionButton210"/>
      </mc:Fallback>
    </mc:AlternateContent>
    <mc:AlternateContent xmlns:mc="http://schemas.openxmlformats.org/markup-compatibility/2006">
      <mc:Choice Requires="x14">
        <control shapeId="51224" r:id="rId104" name="OptionButton37">
          <controlPr defaultSize="0" autoLine="0" linkedCell="AJ15" r:id="rId105">
            <anchor moveWithCells="1" sizeWithCells="1">
              <from>
                <xdr:col>4</xdr:col>
                <xdr:colOff>28575</xdr:colOff>
                <xdr:row>15</xdr:row>
                <xdr:rowOff>38100</xdr:rowOff>
              </from>
              <to>
                <xdr:col>4</xdr:col>
                <xdr:colOff>447675</xdr:colOff>
                <xdr:row>15</xdr:row>
                <xdr:rowOff>285750</xdr:rowOff>
              </to>
            </anchor>
          </controlPr>
        </control>
      </mc:Choice>
      <mc:Fallback>
        <control shapeId="51224" r:id="rId104" name="OptionButton37"/>
      </mc:Fallback>
    </mc:AlternateContent>
    <mc:AlternateContent xmlns:mc="http://schemas.openxmlformats.org/markup-compatibility/2006">
      <mc:Choice Requires="x14">
        <control shapeId="51223" r:id="rId106" name="OptionButton35">
          <controlPr defaultSize="0" autoLine="0" linkedCell="AK17" r:id="rId107">
            <anchor moveWithCells="1" sizeWithCells="1">
              <from>
                <xdr:col>5</xdr:col>
                <xdr:colOff>9525</xdr:colOff>
                <xdr:row>17</xdr:row>
                <xdr:rowOff>38100</xdr:rowOff>
              </from>
              <to>
                <xdr:col>5</xdr:col>
                <xdr:colOff>466725</xdr:colOff>
                <xdr:row>17</xdr:row>
                <xdr:rowOff>285750</xdr:rowOff>
              </to>
            </anchor>
          </controlPr>
        </control>
      </mc:Choice>
      <mc:Fallback>
        <control shapeId="51223" r:id="rId106" name="OptionButton35"/>
      </mc:Fallback>
    </mc:AlternateContent>
    <mc:AlternateContent xmlns:mc="http://schemas.openxmlformats.org/markup-compatibility/2006">
      <mc:Choice Requires="x14">
        <control shapeId="51222" r:id="rId108" name="OptionButton33">
          <controlPr defaultSize="0" autoLine="0" linkedCell="AK16" r:id="rId109">
            <anchor moveWithCells="1" sizeWithCells="1">
              <from>
                <xdr:col>5</xdr:col>
                <xdr:colOff>9525</xdr:colOff>
                <xdr:row>16</xdr:row>
                <xdr:rowOff>38100</xdr:rowOff>
              </from>
              <to>
                <xdr:col>5</xdr:col>
                <xdr:colOff>466725</xdr:colOff>
                <xdr:row>16</xdr:row>
                <xdr:rowOff>285750</xdr:rowOff>
              </to>
            </anchor>
          </controlPr>
        </control>
      </mc:Choice>
      <mc:Fallback>
        <control shapeId="51222" r:id="rId108" name="OptionButton33"/>
      </mc:Fallback>
    </mc:AlternateContent>
    <mc:AlternateContent xmlns:mc="http://schemas.openxmlformats.org/markup-compatibility/2006">
      <mc:Choice Requires="x14">
        <control shapeId="51221" r:id="rId110" name="OptionButton32">
          <controlPr defaultSize="0" autoLine="0" linkedCell="AJ16" r:id="rId111">
            <anchor moveWithCells="1" sizeWithCells="1">
              <from>
                <xdr:col>4</xdr:col>
                <xdr:colOff>19050</xdr:colOff>
                <xdr:row>16</xdr:row>
                <xdr:rowOff>47625</xdr:rowOff>
              </from>
              <to>
                <xdr:col>4</xdr:col>
                <xdr:colOff>438150</xdr:colOff>
                <xdr:row>16</xdr:row>
                <xdr:rowOff>304800</xdr:rowOff>
              </to>
            </anchor>
          </controlPr>
        </control>
      </mc:Choice>
      <mc:Fallback>
        <control shapeId="51221" r:id="rId110" name="OptionButton32"/>
      </mc:Fallback>
    </mc:AlternateContent>
    <mc:AlternateContent xmlns:mc="http://schemas.openxmlformats.org/markup-compatibility/2006">
      <mc:Choice Requires="x14">
        <control shapeId="51220" r:id="rId112" name="OptionButton23">
          <controlPr defaultSize="0" autoLine="0" linkedCell="AK34" r:id="rId113">
            <anchor moveWithCells="1" sizeWithCells="1">
              <from>
                <xdr:col>10</xdr:col>
                <xdr:colOff>514350</xdr:colOff>
                <xdr:row>20</xdr:row>
                <xdr:rowOff>38100</xdr:rowOff>
              </from>
              <to>
                <xdr:col>11</xdr:col>
                <xdr:colOff>371475</xdr:colOff>
                <xdr:row>20</xdr:row>
                <xdr:rowOff>285750</xdr:rowOff>
              </to>
            </anchor>
          </controlPr>
        </control>
      </mc:Choice>
      <mc:Fallback>
        <control shapeId="51220" r:id="rId112" name="OptionButton23"/>
      </mc:Fallback>
    </mc:AlternateContent>
    <mc:AlternateContent xmlns:mc="http://schemas.openxmlformats.org/markup-compatibility/2006">
      <mc:Choice Requires="x14">
        <control shapeId="51219" r:id="rId114" name="OptionButton22">
          <controlPr defaultSize="0" autoLine="0" linkedCell="AJ34" r:id="rId115">
            <anchor moveWithCells="1" sizeWithCells="1">
              <from>
                <xdr:col>10</xdr:col>
                <xdr:colOff>66675</xdr:colOff>
                <xdr:row>20</xdr:row>
                <xdr:rowOff>28575</xdr:rowOff>
              </from>
              <to>
                <xdr:col>10</xdr:col>
                <xdr:colOff>476250</xdr:colOff>
                <xdr:row>20</xdr:row>
                <xdr:rowOff>266700</xdr:rowOff>
              </to>
            </anchor>
          </controlPr>
        </control>
      </mc:Choice>
      <mc:Fallback>
        <control shapeId="51219" r:id="rId114" name="OptionButton22"/>
      </mc:Fallback>
    </mc:AlternateContent>
    <mc:AlternateContent xmlns:mc="http://schemas.openxmlformats.org/markup-compatibility/2006">
      <mc:Choice Requires="x14">
        <control shapeId="51218" r:id="rId116" name="OptionButton21">
          <controlPr defaultSize="0" autoLine="0" linkedCell="AK40" r:id="rId117">
            <anchor moveWithCells="1" sizeWithCells="1">
              <from>
                <xdr:col>10</xdr:col>
                <xdr:colOff>514350</xdr:colOff>
                <xdr:row>32</xdr:row>
                <xdr:rowOff>38100</xdr:rowOff>
              </from>
              <to>
                <xdr:col>11</xdr:col>
                <xdr:colOff>371475</xdr:colOff>
                <xdr:row>32</xdr:row>
                <xdr:rowOff>285750</xdr:rowOff>
              </to>
            </anchor>
          </controlPr>
        </control>
      </mc:Choice>
      <mc:Fallback>
        <control shapeId="51218" r:id="rId116" name="OptionButton21"/>
      </mc:Fallback>
    </mc:AlternateContent>
    <mc:AlternateContent xmlns:mc="http://schemas.openxmlformats.org/markup-compatibility/2006">
      <mc:Choice Requires="x14">
        <control shapeId="51217" r:id="rId118" name="OptionButton20">
          <controlPr defaultSize="0" autoLine="0" linkedCell="AJ40" r:id="rId119">
            <anchor moveWithCells="1" sizeWithCells="1">
              <from>
                <xdr:col>10</xdr:col>
                <xdr:colOff>66675</xdr:colOff>
                <xdr:row>32</xdr:row>
                <xdr:rowOff>38100</xdr:rowOff>
              </from>
              <to>
                <xdr:col>10</xdr:col>
                <xdr:colOff>476250</xdr:colOff>
                <xdr:row>32</xdr:row>
                <xdr:rowOff>276225</xdr:rowOff>
              </to>
            </anchor>
          </controlPr>
        </control>
      </mc:Choice>
      <mc:Fallback>
        <control shapeId="51217" r:id="rId118" name="OptionButton20"/>
      </mc:Fallback>
    </mc:AlternateContent>
    <mc:AlternateContent xmlns:mc="http://schemas.openxmlformats.org/markup-compatibility/2006">
      <mc:Choice Requires="x14">
        <control shapeId="51216" r:id="rId120" name="OptionButton15">
          <controlPr defaultSize="0" autoLine="0" linkedCell="AK37" r:id="rId121">
            <anchor moveWithCells="1" sizeWithCells="1">
              <from>
                <xdr:col>9</xdr:col>
                <xdr:colOff>3190875</xdr:colOff>
                <xdr:row>26</xdr:row>
                <xdr:rowOff>38100</xdr:rowOff>
              </from>
              <to>
                <xdr:col>9</xdr:col>
                <xdr:colOff>3952875</xdr:colOff>
                <xdr:row>26</xdr:row>
                <xdr:rowOff>276225</xdr:rowOff>
              </to>
            </anchor>
          </controlPr>
        </control>
      </mc:Choice>
      <mc:Fallback>
        <control shapeId="51216" r:id="rId120" name="OptionButton15"/>
      </mc:Fallback>
    </mc:AlternateContent>
    <mc:AlternateContent xmlns:mc="http://schemas.openxmlformats.org/markup-compatibility/2006">
      <mc:Choice Requires="x14">
        <control shapeId="51215" r:id="rId122" name="OptionButton14">
          <controlPr defaultSize="0" autoLine="0" linkedCell="AJ37" r:id="rId123">
            <anchor moveWithCells="1" sizeWithCells="1">
              <from>
                <xdr:col>9</xdr:col>
                <xdr:colOff>2628900</xdr:colOff>
                <xdr:row>26</xdr:row>
                <xdr:rowOff>38100</xdr:rowOff>
              </from>
              <to>
                <xdr:col>9</xdr:col>
                <xdr:colOff>3162300</xdr:colOff>
                <xdr:row>26</xdr:row>
                <xdr:rowOff>266700</xdr:rowOff>
              </to>
            </anchor>
          </controlPr>
        </control>
      </mc:Choice>
      <mc:Fallback>
        <control shapeId="51215" r:id="rId122" name="OptionButton14"/>
      </mc:Fallback>
    </mc:AlternateContent>
    <mc:AlternateContent xmlns:mc="http://schemas.openxmlformats.org/markup-compatibility/2006">
      <mc:Choice Requires="x14">
        <control shapeId="51214" r:id="rId124" name="OptionButton137">
          <controlPr defaultSize="0" autoLine="0" linkedCell="AK31" r:id="rId125">
            <anchor moveWithCells="1" sizeWithCells="1">
              <from>
                <xdr:col>9</xdr:col>
                <xdr:colOff>4210050</xdr:colOff>
                <xdr:row>14</xdr:row>
                <xdr:rowOff>28575</xdr:rowOff>
              </from>
              <to>
                <xdr:col>10</xdr:col>
                <xdr:colOff>85725</xdr:colOff>
                <xdr:row>14</xdr:row>
                <xdr:rowOff>266700</xdr:rowOff>
              </to>
            </anchor>
          </controlPr>
        </control>
      </mc:Choice>
      <mc:Fallback>
        <control shapeId="51214" r:id="rId124" name="OptionButton137"/>
      </mc:Fallback>
    </mc:AlternateContent>
    <mc:AlternateContent xmlns:mc="http://schemas.openxmlformats.org/markup-compatibility/2006">
      <mc:Choice Requires="x14">
        <control shapeId="51213" r:id="rId126" name="OptionButton136">
          <controlPr defaultSize="0" autoLine="0" linkedCell="AJ31" r:id="rId127">
            <anchor moveWithCells="1" sizeWithCells="1">
              <from>
                <xdr:col>9</xdr:col>
                <xdr:colOff>3752850</xdr:colOff>
                <xdr:row>14</xdr:row>
                <xdr:rowOff>28575</xdr:rowOff>
              </from>
              <to>
                <xdr:col>9</xdr:col>
                <xdr:colOff>4171950</xdr:colOff>
                <xdr:row>14</xdr:row>
                <xdr:rowOff>285750</xdr:rowOff>
              </to>
            </anchor>
          </controlPr>
        </control>
      </mc:Choice>
      <mc:Fallback>
        <control shapeId="51213" r:id="rId126" name="OptionButton136"/>
      </mc:Fallback>
    </mc:AlternateContent>
    <mc:AlternateContent xmlns:mc="http://schemas.openxmlformats.org/markup-compatibility/2006">
      <mc:Choice Requires="x14">
        <control shapeId="51212" r:id="rId128" name="OptionButton102">
          <controlPr defaultSize="0" autoLine="0" linkedCell="AK33" r:id="rId129">
            <anchor moveWithCells="1" sizeWithCells="1">
              <from>
                <xdr:col>10</xdr:col>
                <xdr:colOff>514350</xdr:colOff>
                <xdr:row>18</xdr:row>
                <xdr:rowOff>28575</xdr:rowOff>
              </from>
              <to>
                <xdr:col>11</xdr:col>
                <xdr:colOff>371475</xdr:colOff>
                <xdr:row>18</xdr:row>
                <xdr:rowOff>276225</xdr:rowOff>
              </to>
            </anchor>
          </controlPr>
        </control>
      </mc:Choice>
      <mc:Fallback>
        <control shapeId="51212" r:id="rId128" name="OptionButton102"/>
      </mc:Fallback>
    </mc:AlternateContent>
    <mc:AlternateContent xmlns:mc="http://schemas.openxmlformats.org/markup-compatibility/2006">
      <mc:Choice Requires="x14">
        <control shapeId="51211" r:id="rId130" name="OptionButton101">
          <controlPr defaultSize="0" autoLine="0" linkedCell="AJ33" r:id="rId131">
            <anchor moveWithCells="1" sizeWithCells="1">
              <from>
                <xdr:col>10</xdr:col>
                <xdr:colOff>66675</xdr:colOff>
                <xdr:row>18</xdr:row>
                <xdr:rowOff>38100</xdr:rowOff>
              </from>
              <to>
                <xdr:col>10</xdr:col>
                <xdr:colOff>476250</xdr:colOff>
                <xdr:row>18</xdr:row>
                <xdr:rowOff>276225</xdr:rowOff>
              </to>
            </anchor>
          </controlPr>
        </control>
      </mc:Choice>
      <mc:Fallback>
        <control shapeId="51211" r:id="rId130" name="OptionButton101"/>
      </mc:Fallback>
    </mc:AlternateContent>
    <mc:AlternateContent xmlns:mc="http://schemas.openxmlformats.org/markup-compatibility/2006">
      <mc:Choice Requires="x14">
        <control shapeId="51210" r:id="rId132" name="OptionButton98">
          <controlPr defaultSize="0" autoLine="0" linkedCell="AK27" r:id="rId133">
            <anchor moveWithCells="1" sizeWithCells="1">
              <from>
                <xdr:col>4</xdr:col>
                <xdr:colOff>476250</xdr:colOff>
                <xdr:row>31</xdr:row>
                <xdr:rowOff>9525</xdr:rowOff>
              </from>
              <to>
                <xdr:col>5</xdr:col>
                <xdr:colOff>457200</xdr:colOff>
                <xdr:row>31</xdr:row>
                <xdr:rowOff>257175</xdr:rowOff>
              </to>
            </anchor>
          </controlPr>
        </control>
      </mc:Choice>
      <mc:Fallback>
        <control shapeId="51210" r:id="rId132" name="OptionButton98"/>
      </mc:Fallback>
    </mc:AlternateContent>
    <mc:AlternateContent xmlns:mc="http://schemas.openxmlformats.org/markup-compatibility/2006">
      <mc:Choice Requires="x14">
        <control shapeId="51209" r:id="rId134" name="OptionButton97">
          <controlPr defaultSize="0" autoLine="0" linkedCell="AJ27" r:id="rId135">
            <anchor moveWithCells="1" sizeWithCells="1">
              <from>
                <xdr:col>4</xdr:col>
                <xdr:colOff>28575</xdr:colOff>
                <xdr:row>31</xdr:row>
                <xdr:rowOff>9525</xdr:rowOff>
              </from>
              <to>
                <xdr:col>4</xdr:col>
                <xdr:colOff>447675</xdr:colOff>
                <xdr:row>31</xdr:row>
                <xdr:rowOff>266700</xdr:rowOff>
              </to>
            </anchor>
          </controlPr>
        </control>
      </mc:Choice>
      <mc:Fallback>
        <control shapeId="51209" r:id="rId134" name="OptionButton97"/>
      </mc:Fallback>
    </mc:AlternateContent>
    <mc:AlternateContent xmlns:mc="http://schemas.openxmlformats.org/markup-compatibility/2006">
      <mc:Choice Requires="x14">
        <control shapeId="51208" r:id="rId136" name="OptionButton96">
          <controlPr defaultSize="0" autoLine="0" linkedCell="AK26" r:id="rId137">
            <anchor moveWithCells="1" sizeWithCells="1">
              <from>
                <xdr:col>4</xdr:col>
                <xdr:colOff>476250</xdr:colOff>
                <xdr:row>30</xdr:row>
                <xdr:rowOff>57150</xdr:rowOff>
              </from>
              <to>
                <xdr:col>5</xdr:col>
                <xdr:colOff>457200</xdr:colOff>
                <xdr:row>30</xdr:row>
                <xdr:rowOff>285750</xdr:rowOff>
              </to>
            </anchor>
          </controlPr>
        </control>
      </mc:Choice>
      <mc:Fallback>
        <control shapeId="51208" r:id="rId136" name="OptionButton96"/>
      </mc:Fallback>
    </mc:AlternateContent>
    <mc:AlternateContent xmlns:mc="http://schemas.openxmlformats.org/markup-compatibility/2006">
      <mc:Choice Requires="x14">
        <control shapeId="51207" r:id="rId138" name="OptionButton95">
          <controlPr defaultSize="0" autoLine="0" linkedCell="AJ26" r:id="rId139">
            <anchor moveWithCells="1" sizeWithCells="1">
              <from>
                <xdr:col>4</xdr:col>
                <xdr:colOff>28575</xdr:colOff>
                <xdr:row>30</xdr:row>
                <xdr:rowOff>57150</xdr:rowOff>
              </from>
              <to>
                <xdr:col>4</xdr:col>
                <xdr:colOff>447675</xdr:colOff>
                <xdr:row>30</xdr:row>
                <xdr:rowOff>295275</xdr:rowOff>
              </to>
            </anchor>
          </controlPr>
        </control>
      </mc:Choice>
      <mc:Fallback>
        <control shapeId="51207" r:id="rId138" name="OptionButton95"/>
      </mc:Fallback>
    </mc:AlternateContent>
    <mc:AlternateContent xmlns:mc="http://schemas.openxmlformats.org/markup-compatibility/2006">
      <mc:Choice Requires="x14">
        <control shapeId="51206" r:id="rId140" name="OptionButton94">
          <controlPr defaultSize="0" autoLine="0" linkedCell="AJ25" r:id="rId141">
            <anchor moveWithCells="1" sizeWithCells="1">
              <from>
                <xdr:col>4</xdr:col>
                <xdr:colOff>38100</xdr:colOff>
                <xdr:row>29</xdr:row>
                <xdr:rowOff>66675</xdr:rowOff>
              </from>
              <to>
                <xdr:col>4</xdr:col>
                <xdr:colOff>457200</xdr:colOff>
                <xdr:row>30</xdr:row>
                <xdr:rowOff>9525</xdr:rowOff>
              </to>
            </anchor>
          </controlPr>
        </control>
      </mc:Choice>
      <mc:Fallback>
        <control shapeId="51206" r:id="rId140" name="OptionButton94"/>
      </mc:Fallback>
    </mc:AlternateContent>
    <mc:AlternateContent xmlns:mc="http://schemas.openxmlformats.org/markup-compatibility/2006">
      <mc:Choice Requires="x14">
        <control shapeId="51205" r:id="rId142" name="OptionButton93">
          <controlPr defaultSize="0" autoLine="0" linkedCell="AK25" r:id="rId143">
            <anchor moveWithCells="1" sizeWithCells="1">
              <from>
                <xdr:col>4</xdr:col>
                <xdr:colOff>476250</xdr:colOff>
                <xdr:row>29</xdr:row>
                <xdr:rowOff>66675</xdr:rowOff>
              </from>
              <to>
                <xdr:col>5</xdr:col>
                <xdr:colOff>466725</xdr:colOff>
                <xdr:row>30</xdr:row>
                <xdr:rowOff>19050</xdr:rowOff>
              </to>
            </anchor>
          </controlPr>
        </control>
      </mc:Choice>
      <mc:Fallback>
        <control shapeId="51205" r:id="rId142" name="OptionButton93"/>
      </mc:Fallback>
    </mc:AlternateContent>
    <mc:AlternateContent xmlns:mc="http://schemas.openxmlformats.org/markup-compatibility/2006">
      <mc:Choice Requires="x14">
        <control shapeId="51204" r:id="rId144" name="OptionButton92">
          <controlPr defaultSize="0" autoLine="0" linkedCell="AK24" r:id="rId145">
            <anchor moveWithCells="1" sizeWithCells="1">
              <from>
                <xdr:col>5</xdr:col>
                <xdr:colOff>19050</xdr:colOff>
                <xdr:row>28</xdr:row>
                <xdr:rowOff>38100</xdr:rowOff>
              </from>
              <to>
                <xdr:col>5</xdr:col>
                <xdr:colOff>476250</xdr:colOff>
                <xdr:row>28</xdr:row>
                <xdr:rowOff>266700</xdr:rowOff>
              </to>
            </anchor>
          </controlPr>
        </control>
      </mc:Choice>
      <mc:Fallback>
        <control shapeId="51204" r:id="rId144" name="OptionButton92"/>
      </mc:Fallback>
    </mc:AlternateContent>
    <mc:AlternateContent xmlns:mc="http://schemas.openxmlformats.org/markup-compatibility/2006">
      <mc:Choice Requires="x14">
        <control shapeId="51203" r:id="rId146" name="OptionButton91">
          <controlPr defaultSize="0" autoLine="0" linkedCell="AJ24" r:id="rId147">
            <anchor moveWithCells="1" sizeWithCells="1">
              <from>
                <xdr:col>4</xdr:col>
                <xdr:colOff>47625</xdr:colOff>
                <xdr:row>28</xdr:row>
                <xdr:rowOff>47625</xdr:rowOff>
              </from>
              <to>
                <xdr:col>4</xdr:col>
                <xdr:colOff>466725</xdr:colOff>
                <xdr:row>28</xdr:row>
                <xdr:rowOff>276225</xdr:rowOff>
              </to>
            </anchor>
          </controlPr>
        </control>
      </mc:Choice>
      <mc:Fallback>
        <control shapeId="51203" r:id="rId146" name="OptionButton91"/>
      </mc:Fallback>
    </mc:AlternateContent>
    <mc:AlternateContent xmlns:mc="http://schemas.openxmlformats.org/markup-compatibility/2006">
      <mc:Choice Requires="x14">
        <control shapeId="51201" r:id="rId148" name="Button 1">
          <controlPr defaultSize="0" print="0" autoFill="0" autoPict="0" macro="[0]!clearScoreCalcSheet">
            <anchor moveWithCells="1" sizeWithCells="1">
              <from>
                <xdr:col>13</xdr:col>
                <xdr:colOff>9525</xdr:colOff>
                <xdr:row>30</xdr:row>
                <xdr:rowOff>152400</xdr:rowOff>
              </from>
              <to>
                <xdr:col>13</xdr:col>
                <xdr:colOff>1352550</xdr:colOff>
                <xdr:row>31</xdr:row>
                <xdr:rowOff>304800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02" r:id="rId149" name="Button 2">
          <controlPr defaultSize="0" print="0" autoFill="0" autoPict="0" macro="[0]!fit2Screen">
            <anchor moveWithCells="1" sizeWithCells="1">
              <from>
                <xdr:col>13</xdr:col>
                <xdr:colOff>495300</xdr:colOff>
                <xdr:row>14</xdr:row>
                <xdr:rowOff>28575</xdr:rowOff>
              </from>
              <to>
                <xdr:col>13</xdr:col>
                <xdr:colOff>1838325</xdr:colOff>
                <xdr:row>15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5" r:id="rId150" name="Button 75">
          <controlPr defaultSize="0" print="0" autoFill="0" autoPict="0" macro="[0]!SetAllNo_PrintSheet">
            <anchor moveWithCells="1" sizeWithCells="1">
              <from>
                <xdr:col>13</xdr:col>
                <xdr:colOff>1943100</xdr:colOff>
                <xdr:row>30</xdr:row>
                <xdr:rowOff>285750</xdr:rowOff>
              </from>
              <to>
                <xdr:col>14</xdr:col>
                <xdr:colOff>9525</xdr:colOff>
                <xdr:row>31</xdr:row>
                <xdr:rowOff>295275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6" r:id="rId151" name="Drop Down 76">
          <controlPr defaultSize="0" autoLine="0" autoPict="0">
            <anchor moveWithCells="1">
              <from>
                <xdr:col>13</xdr:col>
                <xdr:colOff>66675</xdr:colOff>
                <xdr:row>20</xdr:row>
                <xdr:rowOff>9525</xdr:rowOff>
              </from>
              <to>
                <xdr:col>13</xdr:col>
                <xdr:colOff>1266825</xdr:colOff>
                <xdr:row>21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7" r:id="rId152" name="Drop Down 77">
          <controlPr defaultSize="0" autoLine="0" autoPict="0">
            <anchor moveWithCells="1">
              <from>
                <xdr:col>13</xdr:col>
                <xdr:colOff>57150</xdr:colOff>
                <xdr:row>23</xdr:row>
                <xdr:rowOff>19050</xdr:rowOff>
              </from>
              <to>
                <xdr:col>13</xdr:col>
                <xdr:colOff>1257300</xdr:colOff>
                <xdr:row>24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0" r:id="rId153" name="Button 80">
          <controlPr defaultSize="0" print="0" autoFill="0" autoPict="0" macro="[0]!WriteScore2014New">
            <anchor moveWithCells="1" sizeWithCells="1">
              <from>
                <xdr:col>13</xdr:col>
                <xdr:colOff>1619250</xdr:colOff>
                <xdr:row>21</xdr:row>
                <xdr:rowOff>0</xdr:rowOff>
              </from>
              <to>
                <xdr:col>15</xdr:col>
                <xdr:colOff>85725</xdr:colOff>
                <xdr:row>24</xdr:row>
                <xdr:rowOff>85725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8"/>
  <dimension ref="A1:BD65"/>
  <sheetViews>
    <sheetView zoomScale="140" zoomScaleNormal="140" workbookViewId="0">
      <selection activeCell="K15" sqref="K15"/>
    </sheetView>
  </sheetViews>
  <sheetFormatPr defaultColWidth="9.140625" defaultRowHeight="15.75" x14ac:dyDescent="0.25"/>
  <cols>
    <col min="1" max="1" width="9.28515625" style="1" bestFit="1" customWidth="1"/>
    <col min="2" max="2" width="9.140625" style="1" hidden="1" customWidth="1"/>
    <col min="3" max="3" width="10.28515625" style="1" bestFit="1" customWidth="1"/>
    <col min="4" max="4" width="37.42578125" style="1" customWidth="1"/>
    <col min="5" max="5" width="8.85546875" style="1" customWidth="1"/>
    <col min="6" max="7" width="7.7109375" style="1" customWidth="1"/>
    <col min="8" max="8" width="8.140625" style="1" bestFit="1" customWidth="1"/>
    <col min="9" max="9" width="5.7109375" style="1" customWidth="1"/>
    <col min="10" max="10" width="14.42578125" style="1" customWidth="1"/>
    <col min="11" max="56" width="5.7109375" style="1" customWidth="1"/>
    <col min="57" max="57" width="5.42578125" style="1" customWidth="1"/>
    <col min="58" max="16384" width="9.140625" style="1"/>
  </cols>
  <sheetData>
    <row r="1" spans="1:56" ht="48.75" customHeight="1" x14ac:dyDescent="0.45">
      <c r="A1" s="229" t="s">
        <v>0</v>
      </c>
      <c r="B1" s="229"/>
      <c r="C1" s="229"/>
      <c r="D1" s="229"/>
      <c r="E1" s="229"/>
      <c r="F1" s="229"/>
      <c r="G1" s="229"/>
      <c r="H1" s="229"/>
      <c r="I1" s="229"/>
      <c r="J1" s="229"/>
      <c r="K1" s="229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</row>
    <row r="2" spans="1:56" ht="26.25" thickBot="1" x14ac:dyDescent="0.4">
      <c r="C2" s="2"/>
    </row>
    <row r="3" spans="1:56" ht="26.25" thickBot="1" x14ac:dyDescent="0.4">
      <c r="C3" s="2"/>
      <c r="E3" s="231" t="s">
        <v>17</v>
      </c>
      <c r="F3" s="232"/>
      <c r="G3" s="232"/>
      <c r="H3" s="232"/>
      <c r="I3" s="232"/>
      <c r="J3" s="233"/>
    </row>
    <row r="4" spans="1:56" s="4" customFormat="1" ht="27.75" customHeight="1" thickTop="1" thickBot="1" x14ac:dyDescent="0.35">
      <c r="C4" s="7"/>
      <c r="D4" s="7"/>
      <c r="E4" s="195" t="e">
        <f>INDEX(C7:I33,MATCH(MAX(I7:I33),I7:I33,0),1)</f>
        <v>#N/A</v>
      </c>
      <c r="F4" s="234" t="e">
        <f>VLOOKUP(E4,C7:D38,2,FALSE)</f>
        <v>#N/A</v>
      </c>
      <c r="G4" s="234"/>
      <c r="H4" s="234"/>
      <c r="I4" s="234"/>
      <c r="J4" s="235"/>
      <c r="K4" s="7"/>
      <c r="L4" s="7"/>
      <c r="M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</row>
    <row r="5" spans="1:56" ht="16.5" thickBot="1" x14ac:dyDescent="0.3">
      <c r="C5" s="3"/>
      <c r="D5" s="16"/>
      <c r="E5" s="230"/>
      <c r="F5" s="230"/>
      <c r="G5" s="230"/>
      <c r="H5" s="17"/>
      <c r="I5" s="17"/>
    </row>
    <row r="6" spans="1:56" s="5" customFormat="1" ht="75" customHeight="1" thickBot="1" x14ac:dyDescent="0.25">
      <c r="A6" s="189" t="s">
        <v>27</v>
      </c>
      <c r="B6" s="189" t="s">
        <v>8</v>
      </c>
      <c r="C6" s="189" t="s">
        <v>9</v>
      </c>
      <c r="D6" s="190" t="s">
        <v>25</v>
      </c>
      <c r="E6" s="191" t="s">
        <v>34</v>
      </c>
      <c r="F6" s="191" t="s">
        <v>29</v>
      </c>
      <c r="G6" s="191" t="s">
        <v>31</v>
      </c>
      <c r="H6" s="191" t="s">
        <v>32</v>
      </c>
      <c r="I6" s="191" t="s">
        <v>1</v>
      </c>
      <c r="J6" s="191" t="s">
        <v>3</v>
      </c>
    </row>
    <row r="7" spans="1:56" s="4" customFormat="1" ht="12.75" x14ac:dyDescent="0.2">
      <c r="A7" s="192"/>
      <c r="B7" s="193"/>
      <c r="C7" s="194"/>
      <c r="D7" s="194"/>
      <c r="E7" s="192" t="e">
        <f t="shared" ref="E7:E30" si="0">VLOOKUP($C7,PerformanceData,3,FALSE)</f>
        <v>#N/A</v>
      </c>
      <c r="F7" s="192" t="e">
        <f t="shared" ref="F7:F30" si="1">VLOOKUP($C7,PerformanceData,4,FALSE)</f>
        <v>#N/A</v>
      </c>
      <c r="G7" s="192" t="e">
        <f t="shared" ref="G7:G30" si="2">VLOOKUP($C7,PerformanceData,5,FALSE)</f>
        <v>#N/A</v>
      </c>
      <c r="H7" s="192" t="e">
        <f t="shared" ref="H7:H30" si="3">VLOOKUP($C7,PerformanceData,6,FALSE)</f>
        <v>#N/A</v>
      </c>
      <c r="I7" s="192" t="e">
        <f t="shared" ref="I7:I30" si="4">MAX(E7:H7)</f>
        <v>#N/A</v>
      </c>
      <c r="J7" s="192" t="e">
        <f t="shared" ref="J7:J30" si="5">AVERAGE(E7:H7)</f>
        <v>#N/A</v>
      </c>
    </row>
    <row r="8" spans="1:56" s="4" customFormat="1" ht="12.75" x14ac:dyDescent="0.2">
      <c r="A8" s="192"/>
      <c r="B8" s="193"/>
      <c r="C8" s="194"/>
      <c r="D8" s="194"/>
      <c r="E8" s="192" t="e">
        <f t="shared" si="0"/>
        <v>#N/A</v>
      </c>
      <c r="F8" s="192" t="e">
        <f t="shared" si="1"/>
        <v>#N/A</v>
      </c>
      <c r="G8" s="192" t="e">
        <f t="shared" si="2"/>
        <v>#N/A</v>
      </c>
      <c r="H8" s="192" t="e">
        <f t="shared" si="3"/>
        <v>#N/A</v>
      </c>
      <c r="I8" s="192" t="e">
        <f t="shared" si="4"/>
        <v>#N/A</v>
      </c>
      <c r="J8" s="192" t="e">
        <f t="shared" si="5"/>
        <v>#N/A</v>
      </c>
    </row>
    <row r="9" spans="1:56" s="4" customFormat="1" ht="12.75" x14ac:dyDescent="0.2">
      <c r="A9" s="192"/>
      <c r="B9" s="193"/>
      <c r="C9" s="194"/>
      <c r="D9" s="194"/>
      <c r="E9" s="192" t="e">
        <f t="shared" si="0"/>
        <v>#N/A</v>
      </c>
      <c r="F9" s="192" t="e">
        <f t="shared" si="1"/>
        <v>#N/A</v>
      </c>
      <c r="G9" s="192" t="e">
        <f t="shared" si="2"/>
        <v>#N/A</v>
      </c>
      <c r="H9" s="192" t="e">
        <f t="shared" si="3"/>
        <v>#N/A</v>
      </c>
      <c r="I9" s="192" t="e">
        <f t="shared" si="4"/>
        <v>#N/A</v>
      </c>
      <c r="J9" s="192" t="e">
        <f t="shared" si="5"/>
        <v>#N/A</v>
      </c>
    </row>
    <row r="10" spans="1:56" s="4" customFormat="1" ht="12.75" x14ac:dyDescent="0.2">
      <c r="A10" s="192"/>
      <c r="B10" s="193"/>
      <c r="C10" s="194"/>
      <c r="D10" s="194"/>
      <c r="E10" s="192" t="e">
        <f t="shared" si="0"/>
        <v>#N/A</v>
      </c>
      <c r="F10" s="192" t="e">
        <f t="shared" si="1"/>
        <v>#N/A</v>
      </c>
      <c r="G10" s="192" t="e">
        <f t="shared" si="2"/>
        <v>#N/A</v>
      </c>
      <c r="H10" s="192" t="e">
        <f t="shared" si="3"/>
        <v>#N/A</v>
      </c>
      <c r="I10" s="192" t="e">
        <f t="shared" si="4"/>
        <v>#N/A</v>
      </c>
      <c r="J10" s="192" t="e">
        <f t="shared" si="5"/>
        <v>#N/A</v>
      </c>
    </row>
    <row r="11" spans="1:56" s="4" customFormat="1" ht="12.75" x14ac:dyDescent="0.2">
      <c r="A11" s="192"/>
      <c r="B11" s="193"/>
      <c r="C11" s="194"/>
      <c r="D11" s="194"/>
      <c r="E11" s="192" t="e">
        <f t="shared" si="0"/>
        <v>#N/A</v>
      </c>
      <c r="F11" s="192" t="e">
        <f t="shared" si="1"/>
        <v>#N/A</v>
      </c>
      <c r="G11" s="192" t="e">
        <f t="shared" si="2"/>
        <v>#N/A</v>
      </c>
      <c r="H11" s="192" t="e">
        <f t="shared" si="3"/>
        <v>#N/A</v>
      </c>
      <c r="I11" s="192" t="e">
        <f t="shared" si="4"/>
        <v>#N/A</v>
      </c>
      <c r="J11" s="192" t="e">
        <f t="shared" si="5"/>
        <v>#N/A</v>
      </c>
    </row>
    <row r="12" spans="1:56" s="4" customFormat="1" ht="12.75" x14ac:dyDescent="0.2">
      <c r="A12" s="192"/>
      <c r="B12" s="193"/>
      <c r="C12" s="194"/>
      <c r="D12" s="194"/>
      <c r="E12" s="192" t="e">
        <f t="shared" si="0"/>
        <v>#N/A</v>
      </c>
      <c r="F12" s="192" t="e">
        <f t="shared" si="1"/>
        <v>#N/A</v>
      </c>
      <c r="G12" s="192" t="e">
        <f t="shared" si="2"/>
        <v>#N/A</v>
      </c>
      <c r="H12" s="192" t="e">
        <f t="shared" si="3"/>
        <v>#N/A</v>
      </c>
      <c r="I12" s="192" t="e">
        <f t="shared" si="4"/>
        <v>#N/A</v>
      </c>
      <c r="J12" s="192" t="e">
        <f t="shared" si="5"/>
        <v>#N/A</v>
      </c>
    </row>
    <row r="13" spans="1:56" s="4" customFormat="1" ht="12.75" x14ac:dyDescent="0.2">
      <c r="A13" s="192"/>
      <c r="B13" s="193"/>
      <c r="C13" s="194"/>
      <c r="D13" s="194"/>
      <c r="E13" s="192" t="e">
        <f t="shared" si="0"/>
        <v>#N/A</v>
      </c>
      <c r="F13" s="192" t="e">
        <f t="shared" si="1"/>
        <v>#N/A</v>
      </c>
      <c r="G13" s="192" t="e">
        <f t="shared" si="2"/>
        <v>#N/A</v>
      </c>
      <c r="H13" s="192" t="e">
        <f t="shared" si="3"/>
        <v>#N/A</v>
      </c>
      <c r="I13" s="192" t="e">
        <f t="shared" si="4"/>
        <v>#N/A</v>
      </c>
      <c r="J13" s="192" t="e">
        <f t="shared" si="5"/>
        <v>#N/A</v>
      </c>
    </row>
    <row r="14" spans="1:56" s="4" customFormat="1" ht="12.75" x14ac:dyDescent="0.2">
      <c r="A14" s="192"/>
      <c r="B14" s="193"/>
      <c r="C14" s="194"/>
      <c r="D14" s="194"/>
      <c r="E14" s="192" t="e">
        <f t="shared" si="0"/>
        <v>#N/A</v>
      </c>
      <c r="F14" s="192" t="e">
        <f t="shared" si="1"/>
        <v>#N/A</v>
      </c>
      <c r="G14" s="192" t="e">
        <f t="shared" si="2"/>
        <v>#N/A</v>
      </c>
      <c r="H14" s="192" t="e">
        <f t="shared" si="3"/>
        <v>#N/A</v>
      </c>
      <c r="I14" s="192" t="e">
        <f t="shared" si="4"/>
        <v>#N/A</v>
      </c>
      <c r="J14" s="192" t="e">
        <f t="shared" si="5"/>
        <v>#N/A</v>
      </c>
    </row>
    <row r="15" spans="1:56" s="4" customFormat="1" ht="12.75" x14ac:dyDescent="0.2">
      <c r="A15" s="192"/>
      <c r="B15" s="193"/>
      <c r="C15" s="194"/>
      <c r="D15" s="194"/>
      <c r="E15" s="192" t="e">
        <f t="shared" si="0"/>
        <v>#N/A</v>
      </c>
      <c r="F15" s="192" t="e">
        <f t="shared" si="1"/>
        <v>#N/A</v>
      </c>
      <c r="G15" s="192" t="e">
        <f t="shared" si="2"/>
        <v>#N/A</v>
      </c>
      <c r="H15" s="192" t="e">
        <f t="shared" si="3"/>
        <v>#N/A</v>
      </c>
      <c r="I15" s="192" t="e">
        <f t="shared" si="4"/>
        <v>#N/A</v>
      </c>
      <c r="J15" s="192" t="e">
        <f t="shared" si="5"/>
        <v>#N/A</v>
      </c>
    </row>
    <row r="16" spans="1:56" s="4" customFormat="1" ht="12.75" x14ac:dyDescent="0.2">
      <c r="A16" s="192"/>
      <c r="B16" s="193"/>
      <c r="C16" s="194"/>
      <c r="D16" s="194"/>
      <c r="E16" s="192" t="e">
        <f t="shared" si="0"/>
        <v>#N/A</v>
      </c>
      <c r="F16" s="192" t="e">
        <f t="shared" si="1"/>
        <v>#N/A</v>
      </c>
      <c r="G16" s="192" t="e">
        <f t="shared" si="2"/>
        <v>#N/A</v>
      </c>
      <c r="H16" s="192" t="e">
        <f t="shared" si="3"/>
        <v>#N/A</v>
      </c>
      <c r="I16" s="192" t="e">
        <f t="shared" si="4"/>
        <v>#N/A</v>
      </c>
      <c r="J16" s="192" t="e">
        <f t="shared" si="5"/>
        <v>#N/A</v>
      </c>
    </row>
    <row r="17" spans="1:10" s="4" customFormat="1" ht="12.75" x14ac:dyDescent="0.2">
      <c r="A17" s="192"/>
      <c r="B17" s="193"/>
      <c r="C17" s="194"/>
      <c r="D17" s="194"/>
      <c r="E17" s="192" t="e">
        <f t="shared" si="0"/>
        <v>#N/A</v>
      </c>
      <c r="F17" s="192" t="e">
        <f t="shared" si="1"/>
        <v>#N/A</v>
      </c>
      <c r="G17" s="192" t="e">
        <f t="shared" si="2"/>
        <v>#N/A</v>
      </c>
      <c r="H17" s="192" t="e">
        <f t="shared" si="3"/>
        <v>#N/A</v>
      </c>
      <c r="I17" s="192" t="e">
        <f t="shared" si="4"/>
        <v>#N/A</v>
      </c>
      <c r="J17" s="192" t="e">
        <f t="shared" si="5"/>
        <v>#N/A</v>
      </c>
    </row>
    <row r="18" spans="1:10" s="4" customFormat="1" ht="12.75" x14ac:dyDescent="0.2">
      <c r="A18" s="192"/>
      <c r="B18" s="193"/>
      <c r="C18" s="194"/>
      <c r="D18" s="194"/>
      <c r="E18" s="192" t="e">
        <f t="shared" si="0"/>
        <v>#N/A</v>
      </c>
      <c r="F18" s="192" t="e">
        <f t="shared" si="1"/>
        <v>#N/A</v>
      </c>
      <c r="G18" s="192" t="e">
        <f t="shared" si="2"/>
        <v>#N/A</v>
      </c>
      <c r="H18" s="192" t="e">
        <f t="shared" si="3"/>
        <v>#N/A</v>
      </c>
      <c r="I18" s="192" t="e">
        <f t="shared" si="4"/>
        <v>#N/A</v>
      </c>
      <c r="J18" s="192" t="e">
        <f t="shared" si="5"/>
        <v>#N/A</v>
      </c>
    </row>
    <row r="19" spans="1:10" s="4" customFormat="1" ht="12.75" x14ac:dyDescent="0.2">
      <c r="A19" s="192"/>
      <c r="B19" s="193"/>
      <c r="C19" s="194"/>
      <c r="D19" s="194"/>
      <c r="E19" s="192" t="e">
        <f t="shared" si="0"/>
        <v>#N/A</v>
      </c>
      <c r="F19" s="192" t="e">
        <f t="shared" si="1"/>
        <v>#N/A</v>
      </c>
      <c r="G19" s="192" t="e">
        <f t="shared" si="2"/>
        <v>#N/A</v>
      </c>
      <c r="H19" s="192" t="e">
        <f t="shared" si="3"/>
        <v>#N/A</v>
      </c>
      <c r="I19" s="192" t="e">
        <f t="shared" si="4"/>
        <v>#N/A</v>
      </c>
      <c r="J19" s="192" t="e">
        <f t="shared" si="5"/>
        <v>#N/A</v>
      </c>
    </row>
    <row r="20" spans="1:10" s="4" customFormat="1" ht="12.75" x14ac:dyDescent="0.2">
      <c r="A20" s="192"/>
      <c r="B20" s="193"/>
      <c r="C20" s="194"/>
      <c r="D20" s="194"/>
      <c r="E20" s="192" t="e">
        <f t="shared" si="0"/>
        <v>#N/A</v>
      </c>
      <c r="F20" s="192" t="e">
        <f t="shared" si="1"/>
        <v>#N/A</v>
      </c>
      <c r="G20" s="192" t="e">
        <f t="shared" si="2"/>
        <v>#N/A</v>
      </c>
      <c r="H20" s="192" t="e">
        <f t="shared" si="3"/>
        <v>#N/A</v>
      </c>
      <c r="I20" s="192" t="e">
        <f t="shared" si="4"/>
        <v>#N/A</v>
      </c>
      <c r="J20" s="192" t="e">
        <f t="shared" si="5"/>
        <v>#N/A</v>
      </c>
    </row>
    <row r="21" spans="1:10" s="4" customFormat="1" ht="12.75" x14ac:dyDescent="0.2">
      <c r="A21" s="192"/>
      <c r="B21" s="193"/>
      <c r="C21" s="194"/>
      <c r="D21" s="194"/>
      <c r="E21" s="192" t="e">
        <f t="shared" si="0"/>
        <v>#N/A</v>
      </c>
      <c r="F21" s="192" t="e">
        <f t="shared" si="1"/>
        <v>#N/A</v>
      </c>
      <c r="G21" s="192" t="e">
        <f t="shared" si="2"/>
        <v>#N/A</v>
      </c>
      <c r="H21" s="192" t="e">
        <f t="shared" si="3"/>
        <v>#N/A</v>
      </c>
      <c r="I21" s="192" t="e">
        <f t="shared" si="4"/>
        <v>#N/A</v>
      </c>
      <c r="J21" s="192" t="e">
        <f t="shared" si="5"/>
        <v>#N/A</v>
      </c>
    </row>
    <row r="22" spans="1:10" s="4" customFormat="1" ht="12.75" x14ac:dyDescent="0.2">
      <c r="A22" s="192"/>
      <c r="B22" s="193"/>
      <c r="C22" s="194"/>
      <c r="D22" s="194"/>
      <c r="E22" s="192" t="e">
        <f t="shared" si="0"/>
        <v>#N/A</v>
      </c>
      <c r="F22" s="192" t="e">
        <f t="shared" si="1"/>
        <v>#N/A</v>
      </c>
      <c r="G22" s="192" t="e">
        <f t="shared" si="2"/>
        <v>#N/A</v>
      </c>
      <c r="H22" s="192" t="e">
        <f t="shared" si="3"/>
        <v>#N/A</v>
      </c>
      <c r="I22" s="192" t="e">
        <f t="shared" si="4"/>
        <v>#N/A</v>
      </c>
      <c r="J22" s="192" t="e">
        <f t="shared" si="5"/>
        <v>#N/A</v>
      </c>
    </row>
    <row r="23" spans="1:10" s="4" customFormat="1" ht="12.75" x14ac:dyDescent="0.2">
      <c r="A23" s="192"/>
      <c r="B23" s="193"/>
      <c r="C23" s="194"/>
      <c r="D23" s="194"/>
      <c r="E23" s="192" t="e">
        <f t="shared" si="0"/>
        <v>#N/A</v>
      </c>
      <c r="F23" s="192" t="e">
        <f t="shared" si="1"/>
        <v>#N/A</v>
      </c>
      <c r="G23" s="192" t="e">
        <f t="shared" si="2"/>
        <v>#N/A</v>
      </c>
      <c r="H23" s="192" t="e">
        <f t="shared" si="3"/>
        <v>#N/A</v>
      </c>
      <c r="I23" s="192" t="e">
        <f t="shared" si="4"/>
        <v>#N/A</v>
      </c>
      <c r="J23" s="192" t="e">
        <f t="shared" si="5"/>
        <v>#N/A</v>
      </c>
    </row>
    <row r="24" spans="1:10" s="4" customFormat="1" ht="12.75" x14ac:dyDescent="0.2">
      <c r="A24" s="192"/>
      <c r="B24" s="193"/>
      <c r="C24" s="194"/>
      <c r="D24" s="194"/>
      <c r="E24" s="192" t="e">
        <f t="shared" si="0"/>
        <v>#N/A</v>
      </c>
      <c r="F24" s="192" t="e">
        <f t="shared" si="1"/>
        <v>#N/A</v>
      </c>
      <c r="G24" s="192" t="e">
        <f t="shared" si="2"/>
        <v>#N/A</v>
      </c>
      <c r="H24" s="192" t="e">
        <f t="shared" si="3"/>
        <v>#N/A</v>
      </c>
      <c r="I24" s="192" t="e">
        <f t="shared" si="4"/>
        <v>#N/A</v>
      </c>
      <c r="J24" s="192" t="e">
        <f t="shared" si="5"/>
        <v>#N/A</v>
      </c>
    </row>
    <row r="25" spans="1:10" s="4" customFormat="1" ht="12.75" x14ac:dyDescent="0.2">
      <c r="A25" s="192"/>
      <c r="B25" s="193"/>
      <c r="C25" s="194"/>
      <c r="D25" s="194"/>
      <c r="E25" s="192" t="e">
        <f t="shared" si="0"/>
        <v>#N/A</v>
      </c>
      <c r="F25" s="192" t="e">
        <f t="shared" si="1"/>
        <v>#N/A</v>
      </c>
      <c r="G25" s="192" t="e">
        <f t="shared" si="2"/>
        <v>#N/A</v>
      </c>
      <c r="H25" s="192" t="e">
        <f t="shared" si="3"/>
        <v>#N/A</v>
      </c>
      <c r="I25" s="192" t="e">
        <f t="shared" si="4"/>
        <v>#N/A</v>
      </c>
      <c r="J25" s="192" t="e">
        <f t="shared" si="5"/>
        <v>#N/A</v>
      </c>
    </row>
    <row r="26" spans="1:10" s="4" customFormat="1" ht="12.75" x14ac:dyDescent="0.2">
      <c r="A26" s="192"/>
      <c r="B26" s="193"/>
      <c r="C26" s="194"/>
      <c r="D26" s="194"/>
      <c r="E26" s="192" t="e">
        <f t="shared" si="0"/>
        <v>#N/A</v>
      </c>
      <c r="F26" s="192" t="e">
        <f t="shared" si="1"/>
        <v>#N/A</v>
      </c>
      <c r="G26" s="192" t="e">
        <f t="shared" si="2"/>
        <v>#N/A</v>
      </c>
      <c r="H26" s="192" t="e">
        <f t="shared" si="3"/>
        <v>#N/A</v>
      </c>
      <c r="I26" s="192" t="e">
        <f t="shared" si="4"/>
        <v>#N/A</v>
      </c>
      <c r="J26" s="192" t="e">
        <f t="shared" si="5"/>
        <v>#N/A</v>
      </c>
    </row>
    <row r="27" spans="1:10" s="4" customFormat="1" ht="12.75" x14ac:dyDescent="0.2">
      <c r="A27" s="192"/>
      <c r="B27" s="193"/>
      <c r="C27" s="194"/>
      <c r="D27" s="194"/>
      <c r="E27" s="192" t="e">
        <f t="shared" si="0"/>
        <v>#N/A</v>
      </c>
      <c r="F27" s="192" t="e">
        <f t="shared" si="1"/>
        <v>#N/A</v>
      </c>
      <c r="G27" s="192" t="e">
        <f t="shared" si="2"/>
        <v>#N/A</v>
      </c>
      <c r="H27" s="192" t="e">
        <f t="shared" si="3"/>
        <v>#N/A</v>
      </c>
      <c r="I27" s="192" t="e">
        <f t="shared" si="4"/>
        <v>#N/A</v>
      </c>
      <c r="J27" s="192" t="e">
        <f t="shared" si="5"/>
        <v>#N/A</v>
      </c>
    </row>
    <row r="28" spans="1:10" s="4" customFormat="1" ht="12.75" x14ac:dyDescent="0.2">
      <c r="A28" s="192"/>
      <c r="B28" s="193"/>
      <c r="C28" s="194"/>
      <c r="D28" s="194"/>
      <c r="E28" s="192" t="e">
        <f t="shared" si="0"/>
        <v>#N/A</v>
      </c>
      <c r="F28" s="192" t="e">
        <f t="shared" si="1"/>
        <v>#N/A</v>
      </c>
      <c r="G28" s="192" t="e">
        <f t="shared" si="2"/>
        <v>#N/A</v>
      </c>
      <c r="H28" s="192" t="e">
        <f t="shared" si="3"/>
        <v>#N/A</v>
      </c>
      <c r="I28" s="192" t="e">
        <f t="shared" si="4"/>
        <v>#N/A</v>
      </c>
      <c r="J28" s="192" t="e">
        <f t="shared" si="5"/>
        <v>#N/A</v>
      </c>
    </row>
    <row r="29" spans="1:10" s="4" customFormat="1" ht="12.75" x14ac:dyDescent="0.2">
      <c r="A29" s="192"/>
      <c r="B29" s="193"/>
      <c r="C29" s="194"/>
      <c r="D29" s="194"/>
      <c r="E29" s="192" t="e">
        <f t="shared" si="0"/>
        <v>#N/A</v>
      </c>
      <c r="F29" s="192" t="e">
        <f t="shared" si="1"/>
        <v>#N/A</v>
      </c>
      <c r="G29" s="192" t="e">
        <f t="shared" si="2"/>
        <v>#N/A</v>
      </c>
      <c r="H29" s="192" t="e">
        <f t="shared" si="3"/>
        <v>#N/A</v>
      </c>
      <c r="I29" s="192" t="e">
        <f t="shared" si="4"/>
        <v>#N/A</v>
      </c>
      <c r="J29" s="192" t="e">
        <f t="shared" si="5"/>
        <v>#N/A</v>
      </c>
    </row>
    <row r="30" spans="1:10" s="4" customFormat="1" ht="12.75" x14ac:dyDescent="0.2">
      <c r="A30" s="192"/>
      <c r="B30" s="193"/>
      <c r="C30" s="194"/>
      <c r="D30" s="194"/>
      <c r="E30" s="192" t="e">
        <f t="shared" si="0"/>
        <v>#N/A</v>
      </c>
      <c r="F30" s="192" t="e">
        <f t="shared" si="1"/>
        <v>#N/A</v>
      </c>
      <c r="G30" s="192" t="e">
        <f t="shared" si="2"/>
        <v>#N/A</v>
      </c>
      <c r="H30" s="192" t="e">
        <f t="shared" si="3"/>
        <v>#N/A</v>
      </c>
      <c r="I30" s="192" t="e">
        <f t="shared" si="4"/>
        <v>#N/A</v>
      </c>
      <c r="J30" s="192" t="e">
        <f t="shared" si="5"/>
        <v>#N/A</v>
      </c>
    </row>
    <row r="31" spans="1:10" s="4" customFormat="1" ht="12.75" hidden="1" x14ac:dyDescent="0.2">
      <c r="A31" s="192">
        <v>25</v>
      </c>
      <c r="B31" s="193">
        <f>'Team Database'!A38</f>
        <v>0</v>
      </c>
      <c r="C31" s="194"/>
      <c r="D31" s="194"/>
      <c r="E31" s="192"/>
      <c r="F31" s="192"/>
      <c r="G31" s="192"/>
      <c r="H31" s="192"/>
      <c r="I31" s="192"/>
      <c r="J31" s="192"/>
    </row>
    <row r="32" spans="1:10" s="4" customFormat="1" ht="12.75" hidden="1" x14ac:dyDescent="0.2">
      <c r="A32" s="192">
        <v>26</v>
      </c>
      <c r="B32" s="193">
        <f>'Team Database'!A19</f>
        <v>0</v>
      </c>
      <c r="C32" s="194"/>
      <c r="D32" s="194"/>
      <c r="E32" s="192"/>
      <c r="F32" s="192"/>
      <c r="G32" s="192"/>
      <c r="H32" s="192"/>
      <c r="I32" s="192"/>
      <c r="J32" s="192"/>
    </row>
    <row r="33" spans="1:10" s="4" customFormat="1" ht="12.75" hidden="1" x14ac:dyDescent="0.2">
      <c r="A33" s="192">
        <v>27</v>
      </c>
      <c r="B33" s="193">
        <f>'Team Database'!A29</f>
        <v>0</v>
      </c>
      <c r="C33" s="194"/>
      <c r="D33" s="194"/>
      <c r="E33" s="192"/>
      <c r="F33" s="192"/>
      <c r="G33" s="192"/>
      <c r="H33" s="192"/>
      <c r="I33" s="192"/>
      <c r="J33" s="192"/>
    </row>
    <row r="34" spans="1:10" s="4" customFormat="1" ht="12.75" hidden="1" x14ac:dyDescent="0.2">
      <c r="A34" s="192"/>
      <c r="B34" s="193"/>
      <c r="C34" s="194"/>
      <c r="D34" s="194" t="e">
        <f t="shared" ref="D34:D58" si="6">VLOOKUP($C34,PerformanceData,2,FALSE)</f>
        <v>#N/A</v>
      </c>
      <c r="E34" s="192" t="e">
        <f t="shared" ref="E34:E58" si="7">VLOOKUP($C34,PerformanceData,3,FALSE)</f>
        <v>#N/A</v>
      </c>
      <c r="F34" s="192" t="e">
        <f t="shared" ref="F34:F58" si="8">VLOOKUP($C34,PerformanceData,4,FALSE)</f>
        <v>#N/A</v>
      </c>
      <c r="G34" s="192" t="e">
        <f t="shared" ref="G34:G58" si="9">VLOOKUP($C34,PerformanceData,5,FALSE)</f>
        <v>#N/A</v>
      </c>
      <c r="H34" s="192" t="e">
        <f t="shared" ref="H34:H58" si="10">VLOOKUP($C34,PerformanceData,6,FALSE)</f>
        <v>#N/A</v>
      </c>
      <c r="I34" s="192" t="e">
        <f t="shared" ref="I34:I58" si="11">MAX(E34:H34)</f>
        <v>#N/A</v>
      </c>
      <c r="J34" s="192" t="e">
        <f t="shared" ref="J34:J58" si="12">AVERAGE(E34:H34)</f>
        <v>#N/A</v>
      </c>
    </row>
    <row r="35" spans="1:10" s="4" customFormat="1" ht="12.75" hidden="1" x14ac:dyDescent="0.2">
      <c r="A35" s="192"/>
      <c r="B35" s="193"/>
      <c r="C35" s="194"/>
      <c r="D35" s="194" t="e">
        <f t="shared" si="6"/>
        <v>#N/A</v>
      </c>
      <c r="E35" s="192" t="e">
        <f t="shared" si="7"/>
        <v>#N/A</v>
      </c>
      <c r="F35" s="192" t="e">
        <f t="shared" si="8"/>
        <v>#N/A</v>
      </c>
      <c r="G35" s="192" t="e">
        <f t="shared" si="9"/>
        <v>#N/A</v>
      </c>
      <c r="H35" s="192" t="e">
        <f t="shared" si="10"/>
        <v>#N/A</v>
      </c>
      <c r="I35" s="192" t="e">
        <f t="shared" si="11"/>
        <v>#N/A</v>
      </c>
      <c r="J35" s="192" t="e">
        <f t="shared" si="12"/>
        <v>#N/A</v>
      </c>
    </row>
    <row r="36" spans="1:10" s="4" customFormat="1" ht="12.75" hidden="1" x14ac:dyDescent="0.2">
      <c r="A36" s="192"/>
      <c r="B36" s="193"/>
      <c r="C36" s="194"/>
      <c r="D36" s="194" t="e">
        <f t="shared" si="6"/>
        <v>#N/A</v>
      </c>
      <c r="E36" s="192" t="e">
        <f t="shared" si="7"/>
        <v>#N/A</v>
      </c>
      <c r="F36" s="192" t="e">
        <f t="shared" si="8"/>
        <v>#N/A</v>
      </c>
      <c r="G36" s="192" t="e">
        <f t="shared" si="9"/>
        <v>#N/A</v>
      </c>
      <c r="H36" s="192" t="e">
        <f t="shared" si="10"/>
        <v>#N/A</v>
      </c>
      <c r="I36" s="192" t="e">
        <f t="shared" si="11"/>
        <v>#N/A</v>
      </c>
      <c r="J36" s="192" t="e">
        <f t="shared" si="12"/>
        <v>#N/A</v>
      </c>
    </row>
    <row r="37" spans="1:10" s="4" customFormat="1" ht="12.75" hidden="1" x14ac:dyDescent="0.2">
      <c r="A37" s="192"/>
      <c r="B37" s="193"/>
      <c r="C37" s="194"/>
      <c r="D37" s="194" t="e">
        <f t="shared" si="6"/>
        <v>#N/A</v>
      </c>
      <c r="E37" s="192" t="e">
        <f t="shared" si="7"/>
        <v>#N/A</v>
      </c>
      <c r="F37" s="192" t="e">
        <f t="shared" si="8"/>
        <v>#N/A</v>
      </c>
      <c r="G37" s="192" t="e">
        <f t="shared" si="9"/>
        <v>#N/A</v>
      </c>
      <c r="H37" s="192" t="e">
        <f t="shared" si="10"/>
        <v>#N/A</v>
      </c>
      <c r="I37" s="192" t="e">
        <f t="shared" si="11"/>
        <v>#N/A</v>
      </c>
      <c r="J37" s="192" t="e">
        <f t="shared" si="12"/>
        <v>#N/A</v>
      </c>
    </row>
    <row r="38" spans="1:10" s="4" customFormat="1" ht="12.75" hidden="1" x14ac:dyDescent="0.2">
      <c r="A38" s="192"/>
      <c r="B38" s="193"/>
      <c r="C38" s="194"/>
      <c r="D38" s="194" t="e">
        <f t="shared" si="6"/>
        <v>#N/A</v>
      </c>
      <c r="E38" s="192" t="e">
        <f t="shared" si="7"/>
        <v>#N/A</v>
      </c>
      <c r="F38" s="192" t="e">
        <f t="shared" si="8"/>
        <v>#N/A</v>
      </c>
      <c r="G38" s="192" t="e">
        <f t="shared" si="9"/>
        <v>#N/A</v>
      </c>
      <c r="H38" s="192" t="e">
        <f t="shared" si="10"/>
        <v>#N/A</v>
      </c>
      <c r="I38" s="192" t="e">
        <f t="shared" si="11"/>
        <v>#N/A</v>
      </c>
      <c r="J38" s="192" t="e">
        <f t="shared" si="12"/>
        <v>#N/A</v>
      </c>
    </row>
    <row r="39" spans="1:10" s="4" customFormat="1" ht="12.75" hidden="1" x14ac:dyDescent="0.2">
      <c r="A39" s="192"/>
      <c r="B39" s="193"/>
      <c r="C39" s="194"/>
      <c r="D39" s="194" t="e">
        <f t="shared" si="6"/>
        <v>#N/A</v>
      </c>
      <c r="E39" s="192" t="e">
        <f t="shared" si="7"/>
        <v>#N/A</v>
      </c>
      <c r="F39" s="192" t="e">
        <f t="shared" si="8"/>
        <v>#N/A</v>
      </c>
      <c r="G39" s="192" t="e">
        <f t="shared" si="9"/>
        <v>#N/A</v>
      </c>
      <c r="H39" s="192" t="e">
        <f t="shared" si="10"/>
        <v>#N/A</v>
      </c>
      <c r="I39" s="192" t="e">
        <f t="shared" si="11"/>
        <v>#N/A</v>
      </c>
      <c r="J39" s="192" t="e">
        <f t="shared" si="12"/>
        <v>#N/A</v>
      </c>
    </row>
    <row r="40" spans="1:10" s="4" customFormat="1" ht="12.75" hidden="1" x14ac:dyDescent="0.2">
      <c r="A40" s="192"/>
      <c r="B40" s="193"/>
      <c r="C40" s="194"/>
      <c r="D40" s="194" t="e">
        <f t="shared" si="6"/>
        <v>#N/A</v>
      </c>
      <c r="E40" s="192" t="e">
        <f t="shared" si="7"/>
        <v>#N/A</v>
      </c>
      <c r="F40" s="192" t="e">
        <f t="shared" si="8"/>
        <v>#N/A</v>
      </c>
      <c r="G40" s="192" t="e">
        <f t="shared" si="9"/>
        <v>#N/A</v>
      </c>
      <c r="H40" s="192" t="e">
        <f t="shared" si="10"/>
        <v>#N/A</v>
      </c>
      <c r="I40" s="192" t="e">
        <f t="shared" si="11"/>
        <v>#N/A</v>
      </c>
      <c r="J40" s="192" t="e">
        <f t="shared" si="12"/>
        <v>#N/A</v>
      </c>
    </row>
    <row r="41" spans="1:10" s="4" customFormat="1" ht="12.75" hidden="1" x14ac:dyDescent="0.2">
      <c r="A41" s="192"/>
      <c r="B41" s="193"/>
      <c r="C41" s="194"/>
      <c r="D41" s="194" t="e">
        <f t="shared" si="6"/>
        <v>#N/A</v>
      </c>
      <c r="E41" s="192" t="e">
        <f t="shared" si="7"/>
        <v>#N/A</v>
      </c>
      <c r="F41" s="192" t="e">
        <f t="shared" si="8"/>
        <v>#N/A</v>
      </c>
      <c r="G41" s="192" t="e">
        <f t="shared" si="9"/>
        <v>#N/A</v>
      </c>
      <c r="H41" s="192" t="e">
        <f t="shared" si="10"/>
        <v>#N/A</v>
      </c>
      <c r="I41" s="192" t="e">
        <f t="shared" si="11"/>
        <v>#N/A</v>
      </c>
      <c r="J41" s="192" t="e">
        <f t="shared" si="12"/>
        <v>#N/A</v>
      </c>
    </row>
    <row r="42" spans="1:10" s="4" customFormat="1" ht="12.75" hidden="1" x14ac:dyDescent="0.2">
      <c r="A42" s="192"/>
      <c r="B42" s="193"/>
      <c r="C42" s="194"/>
      <c r="D42" s="194" t="e">
        <f t="shared" si="6"/>
        <v>#N/A</v>
      </c>
      <c r="E42" s="192" t="e">
        <f t="shared" si="7"/>
        <v>#N/A</v>
      </c>
      <c r="F42" s="192" t="e">
        <f t="shared" si="8"/>
        <v>#N/A</v>
      </c>
      <c r="G42" s="192" t="e">
        <f t="shared" si="9"/>
        <v>#N/A</v>
      </c>
      <c r="H42" s="192" t="e">
        <f t="shared" si="10"/>
        <v>#N/A</v>
      </c>
      <c r="I42" s="192" t="e">
        <f t="shared" si="11"/>
        <v>#N/A</v>
      </c>
      <c r="J42" s="192" t="e">
        <f t="shared" si="12"/>
        <v>#N/A</v>
      </c>
    </row>
    <row r="43" spans="1:10" s="4" customFormat="1" ht="12.75" hidden="1" x14ac:dyDescent="0.2">
      <c r="A43" s="192"/>
      <c r="B43" s="193"/>
      <c r="C43" s="194"/>
      <c r="D43" s="194" t="e">
        <f t="shared" si="6"/>
        <v>#N/A</v>
      </c>
      <c r="E43" s="192" t="e">
        <f t="shared" si="7"/>
        <v>#N/A</v>
      </c>
      <c r="F43" s="192" t="e">
        <f t="shared" si="8"/>
        <v>#N/A</v>
      </c>
      <c r="G43" s="192" t="e">
        <f t="shared" si="9"/>
        <v>#N/A</v>
      </c>
      <c r="H43" s="192" t="e">
        <f t="shared" si="10"/>
        <v>#N/A</v>
      </c>
      <c r="I43" s="192" t="e">
        <f t="shared" si="11"/>
        <v>#N/A</v>
      </c>
      <c r="J43" s="192" t="e">
        <f t="shared" si="12"/>
        <v>#N/A</v>
      </c>
    </row>
    <row r="44" spans="1:10" s="4" customFormat="1" ht="12.75" hidden="1" x14ac:dyDescent="0.2">
      <c r="A44" s="192"/>
      <c r="B44" s="193"/>
      <c r="C44" s="194"/>
      <c r="D44" s="194" t="e">
        <f t="shared" si="6"/>
        <v>#N/A</v>
      </c>
      <c r="E44" s="192" t="e">
        <f t="shared" si="7"/>
        <v>#N/A</v>
      </c>
      <c r="F44" s="192" t="e">
        <f t="shared" si="8"/>
        <v>#N/A</v>
      </c>
      <c r="G44" s="192" t="e">
        <f t="shared" si="9"/>
        <v>#N/A</v>
      </c>
      <c r="H44" s="192" t="e">
        <f t="shared" si="10"/>
        <v>#N/A</v>
      </c>
      <c r="I44" s="192" t="e">
        <f t="shared" si="11"/>
        <v>#N/A</v>
      </c>
      <c r="J44" s="192" t="e">
        <f t="shared" si="12"/>
        <v>#N/A</v>
      </c>
    </row>
    <row r="45" spans="1:10" s="4" customFormat="1" ht="12.75" hidden="1" x14ac:dyDescent="0.2">
      <c r="A45" s="192"/>
      <c r="B45" s="193"/>
      <c r="C45" s="194"/>
      <c r="D45" s="194" t="e">
        <f t="shared" si="6"/>
        <v>#N/A</v>
      </c>
      <c r="E45" s="192" t="e">
        <f t="shared" si="7"/>
        <v>#N/A</v>
      </c>
      <c r="F45" s="192" t="e">
        <f t="shared" si="8"/>
        <v>#N/A</v>
      </c>
      <c r="G45" s="192" t="e">
        <f t="shared" si="9"/>
        <v>#N/A</v>
      </c>
      <c r="H45" s="192" t="e">
        <f t="shared" si="10"/>
        <v>#N/A</v>
      </c>
      <c r="I45" s="192" t="e">
        <f t="shared" si="11"/>
        <v>#N/A</v>
      </c>
      <c r="J45" s="192" t="e">
        <f t="shared" si="12"/>
        <v>#N/A</v>
      </c>
    </row>
    <row r="46" spans="1:10" s="4" customFormat="1" ht="12.75" hidden="1" x14ac:dyDescent="0.2">
      <c r="A46" s="192"/>
      <c r="B46" s="193"/>
      <c r="C46" s="194"/>
      <c r="D46" s="194" t="e">
        <f t="shared" si="6"/>
        <v>#N/A</v>
      </c>
      <c r="E46" s="192" t="e">
        <f t="shared" si="7"/>
        <v>#N/A</v>
      </c>
      <c r="F46" s="192" t="e">
        <f t="shared" si="8"/>
        <v>#N/A</v>
      </c>
      <c r="G46" s="192" t="e">
        <f t="shared" si="9"/>
        <v>#N/A</v>
      </c>
      <c r="H46" s="192" t="e">
        <f t="shared" si="10"/>
        <v>#N/A</v>
      </c>
      <c r="I46" s="192" t="e">
        <f t="shared" si="11"/>
        <v>#N/A</v>
      </c>
      <c r="J46" s="192" t="e">
        <f t="shared" si="12"/>
        <v>#N/A</v>
      </c>
    </row>
    <row r="47" spans="1:10" s="4" customFormat="1" ht="12.75" hidden="1" x14ac:dyDescent="0.2">
      <c r="A47" s="192"/>
      <c r="B47" s="193"/>
      <c r="C47" s="194"/>
      <c r="D47" s="194" t="e">
        <f t="shared" si="6"/>
        <v>#N/A</v>
      </c>
      <c r="E47" s="192" t="e">
        <f t="shared" si="7"/>
        <v>#N/A</v>
      </c>
      <c r="F47" s="192" t="e">
        <f t="shared" si="8"/>
        <v>#N/A</v>
      </c>
      <c r="G47" s="192" t="e">
        <f t="shared" si="9"/>
        <v>#N/A</v>
      </c>
      <c r="H47" s="192" t="e">
        <f t="shared" si="10"/>
        <v>#N/A</v>
      </c>
      <c r="I47" s="192" t="e">
        <f t="shared" si="11"/>
        <v>#N/A</v>
      </c>
      <c r="J47" s="192" t="e">
        <f t="shared" si="12"/>
        <v>#N/A</v>
      </c>
    </row>
    <row r="48" spans="1:10" s="4" customFormat="1" ht="12.75" hidden="1" x14ac:dyDescent="0.2">
      <c r="A48" s="192"/>
      <c r="B48" s="193"/>
      <c r="C48" s="194"/>
      <c r="D48" s="194" t="e">
        <f t="shared" si="6"/>
        <v>#N/A</v>
      </c>
      <c r="E48" s="192" t="e">
        <f t="shared" si="7"/>
        <v>#N/A</v>
      </c>
      <c r="F48" s="192" t="e">
        <f t="shared" si="8"/>
        <v>#N/A</v>
      </c>
      <c r="G48" s="192" t="e">
        <f t="shared" si="9"/>
        <v>#N/A</v>
      </c>
      <c r="H48" s="192" t="e">
        <f t="shared" si="10"/>
        <v>#N/A</v>
      </c>
      <c r="I48" s="192" t="e">
        <f t="shared" si="11"/>
        <v>#N/A</v>
      </c>
      <c r="J48" s="192" t="e">
        <f t="shared" si="12"/>
        <v>#N/A</v>
      </c>
    </row>
    <row r="49" spans="1:10" s="4" customFormat="1" ht="12.75" hidden="1" x14ac:dyDescent="0.2">
      <c r="A49" s="192"/>
      <c r="B49" s="193"/>
      <c r="C49" s="194"/>
      <c r="D49" s="194" t="e">
        <f t="shared" si="6"/>
        <v>#N/A</v>
      </c>
      <c r="E49" s="192" t="e">
        <f t="shared" si="7"/>
        <v>#N/A</v>
      </c>
      <c r="F49" s="192" t="e">
        <f t="shared" si="8"/>
        <v>#N/A</v>
      </c>
      <c r="G49" s="192" t="e">
        <f t="shared" si="9"/>
        <v>#N/A</v>
      </c>
      <c r="H49" s="192" t="e">
        <f t="shared" si="10"/>
        <v>#N/A</v>
      </c>
      <c r="I49" s="192" t="e">
        <f t="shared" si="11"/>
        <v>#N/A</v>
      </c>
      <c r="J49" s="192" t="e">
        <f t="shared" si="12"/>
        <v>#N/A</v>
      </c>
    </row>
    <row r="50" spans="1:10" s="4" customFormat="1" ht="12.75" hidden="1" x14ac:dyDescent="0.2">
      <c r="A50" s="192"/>
      <c r="B50" s="193"/>
      <c r="C50" s="194"/>
      <c r="D50" s="194" t="e">
        <f t="shared" si="6"/>
        <v>#N/A</v>
      </c>
      <c r="E50" s="192" t="e">
        <f t="shared" si="7"/>
        <v>#N/A</v>
      </c>
      <c r="F50" s="192" t="e">
        <f t="shared" si="8"/>
        <v>#N/A</v>
      </c>
      <c r="G50" s="192" t="e">
        <f t="shared" si="9"/>
        <v>#N/A</v>
      </c>
      <c r="H50" s="192" t="e">
        <f t="shared" si="10"/>
        <v>#N/A</v>
      </c>
      <c r="I50" s="192" t="e">
        <f t="shared" si="11"/>
        <v>#N/A</v>
      </c>
      <c r="J50" s="192" t="e">
        <f t="shared" si="12"/>
        <v>#N/A</v>
      </c>
    </row>
    <row r="51" spans="1:10" s="4" customFormat="1" ht="12.75" hidden="1" x14ac:dyDescent="0.2">
      <c r="A51" s="192"/>
      <c r="B51" s="193"/>
      <c r="C51" s="194"/>
      <c r="D51" s="194" t="e">
        <f t="shared" si="6"/>
        <v>#N/A</v>
      </c>
      <c r="E51" s="192" t="e">
        <f t="shared" si="7"/>
        <v>#N/A</v>
      </c>
      <c r="F51" s="192" t="e">
        <f t="shared" si="8"/>
        <v>#N/A</v>
      </c>
      <c r="G51" s="192" t="e">
        <f t="shared" si="9"/>
        <v>#N/A</v>
      </c>
      <c r="H51" s="192" t="e">
        <f t="shared" si="10"/>
        <v>#N/A</v>
      </c>
      <c r="I51" s="192" t="e">
        <f t="shared" si="11"/>
        <v>#N/A</v>
      </c>
      <c r="J51" s="192" t="e">
        <f t="shared" si="12"/>
        <v>#N/A</v>
      </c>
    </row>
    <row r="52" spans="1:10" s="4" customFormat="1" ht="12.75" hidden="1" x14ac:dyDescent="0.2">
      <c r="A52" s="192"/>
      <c r="B52" s="193"/>
      <c r="C52" s="194"/>
      <c r="D52" s="194" t="e">
        <f t="shared" si="6"/>
        <v>#N/A</v>
      </c>
      <c r="E52" s="192" t="e">
        <f t="shared" si="7"/>
        <v>#N/A</v>
      </c>
      <c r="F52" s="192" t="e">
        <f t="shared" si="8"/>
        <v>#N/A</v>
      </c>
      <c r="G52" s="192" t="e">
        <f t="shared" si="9"/>
        <v>#N/A</v>
      </c>
      <c r="H52" s="192" t="e">
        <f t="shared" si="10"/>
        <v>#N/A</v>
      </c>
      <c r="I52" s="192" t="e">
        <f t="shared" si="11"/>
        <v>#N/A</v>
      </c>
      <c r="J52" s="192" t="e">
        <f t="shared" si="12"/>
        <v>#N/A</v>
      </c>
    </row>
    <row r="53" spans="1:10" s="4" customFormat="1" ht="12.75" hidden="1" x14ac:dyDescent="0.2">
      <c r="A53" s="192"/>
      <c r="B53" s="193"/>
      <c r="C53" s="194"/>
      <c r="D53" s="194" t="e">
        <f t="shared" si="6"/>
        <v>#N/A</v>
      </c>
      <c r="E53" s="192" t="e">
        <f t="shared" si="7"/>
        <v>#N/A</v>
      </c>
      <c r="F53" s="192" t="e">
        <f t="shared" si="8"/>
        <v>#N/A</v>
      </c>
      <c r="G53" s="192" t="e">
        <f t="shared" si="9"/>
        <v>#N/A</v>
      </c>
      <c r="H53" s="192" t="e">
        <f t="shared" si="10"/>
        <v>#N/A</v>
      </c>
      <c r="I53" s="192" t="e">
        <f t="shared" si="11"/>
        <v>#N/A</v>
      </c>
      <c r="J53" s="192" t="e">
        <f t="shared" si="12"/>
        <v>#N/A</v>
      </c>
    </row>
    <row r="54" spans="1:10" s="4" customFormat="1" ht="12.75" hidden="1" x14ac:dyDescent="0.2">
      <c r="A54" s="192"/>
      <c r="B54" s="193"/>
      <c r="C54" s="194"/>
      <c r="D54" s="194" t="e">
        <f t="shared" si="6"/>
        <v>#N/A</v>
      </c>
      <c r="E54" s="192" t="e">
        <f t="shared" si="7"/>
        <v>#N/A</v>
      </c>
      <c r="F54" s="192" t="e">
        <f t="shared" si="8"/>
        <v>#N/A</v>
      </c>
      <c r="G54" s="192" t="e">
        <f t="shared" si="9"/>
        <v>#N/A</v>
      </c>
      <c r="H54" s="192" t="e">
        <f t="shared" si="10"/>
        <v>#N/A</v>
      </c>
      <c r="I54" s="192" t="e">
        <f t="shared" si="11"/>
        <v>#N/A</v>
      </c>
      <c r="J54" s="192" t="e">
        <f t="shared" si="12"/>
        <v>#N/A</v>
      </c>
    </row>
    <row r="55" spans="1:10" s="4" customFormat="1" ht="12.75" hidden="1" x14ac:dyDescent="0.2">
      <c r="A55" s="192"/>
      <c r="B55" s="193"/>
      <c r="C55" s="194"/>
      <c r="D55" s="194" t="e">
        <f t="shared" si="6"/>
        <v>#N/A</v>
      </c>
      <c r="E55" s="192" t="e">
        <f t="shared" si="7"/>
        <v>#N/A</v>
      </c>
      <c r="F55" s="192" t="e">
        <f t="shared" si="8"/>
        <v>#N/A</v>
      </c>
      <c r="G55" s="192" t="e">
        <f t="shared" si="9"/>
        <v>#N/A</v>
      </c>
      <c r="H55" s="192" t="e">
        <f t="shared" si="10"/>
        <v>#N/A</v>
      </c>
      <c r="I55" s="192" t="e">
        <f t="shared" si="11"/>
        <v>#N/A</v>
      </c>
      <c r="J55" s="192" t="e">
        <f t="shared" si="12"/>
        <v>#N/A</v>
      </c>
    </row>
    <row r="56" spans="1:10" s="4" customFormat="1" ht="12.75" hidden="1" x14ac:dyDescent="0.2">
      <c r="A56" s="192"/>
      <c r="B56" s="193"/>
      <c r="C56" s="194"/>
      <c r="D56" s="194" t="e">
        <f t="shared" si="6"/>
        <v>#N/A</v>
      </c>
      <c r="E56" s="192" t="e">
        <f t="shared" si="7"/>
        <v>#N/A</v>
      </c>
      <c r="F56" s="192" t="e">
        <f t="shared" si="8"/>
        <v>#N/A</v>
      </c>
      <c r="G56" s="192" t="e">
        <f t="shared" si="9"/>
        <v>#N/A</v>
      </c>
      <c r="H56" s="192" t="e">
        <f t="shared" si="10"/>
        <v>#N/A</v>
      </c>
      <c r="I56" s="192" t="e">
        <f t="shared" si="11"/>
        <v>#N/A</v>
      </c>
      <c r="J56" s="192" t="e">
        <f t="shared" si="12"/>
        <v>#N/A</v>
      </c>
    </row>
    <row r="57" spans="1:10" s="4" customFormat="1" ht="12.75" hidden="1" x14ac:dyDescent="0.2">
      <c r="A57" s="192"/>
      <c r="B57" s="193"/>
      <c r="C57" s="194"/>
      <c r="D57" s="194" t="e">
        <f t="shared" si="6"/>
        <v>#N/A</v>
      </c>
      <c r="E57" s="192" t="e">
        <f t="shared" si="7"/>
        <v>#N/A</v>
      </c>
      <c r="F57" s="192" t="e">
        <f t="shared" si="8"/>
        <v>#N/A</v>
      </c>
      <c r="G57" s="192" t="e">
        <f t="shared" si="9"/>
        <v>#N/A</v>
      </c>
      <c r="H57" s="192" t="e">
        <f t="shared" si="10"/>
        <v>#N/A</v>
      </c>
      <c r="I57" s="192" t="e">
        <f t="shared" si="11"/>
        <v>#N/A</v>
      </c>
      <c r="J57" s="192" t="e">
        <f t="shared" si="12"/>
        <v>#N/A</v>
      </c>
    </row>
    <row r="58" spans="1:10" s="4" customFormat="1" ht="12.75" hidden="1" x14ac:dyDescent="0.2">
      <c r="A58" s="192"/>
      <c r="B58" s="193"/>
      <c r="C58" s="194"/>
      <c r="D58" s="194" t="e">
        <f t="shared" si="6"/>
        <v>#N/A</v>
      </c>
      <c r="E58" s="192" t="e">
        <f t="shared" si="7"/>
        <v>#N/A</v>
      </c>
      <c r="F58" s="192" t="e">
        <f t="shared" si="8"/>
        <v>#N/A</v>
      </c>
      <c r="G58" s="192" t="e">
        <f t="shared" si="9"/>
        <v>#N/A</v>
      </c>
      <c r="H58" s="192" t="e">
        <f t="shared" si="10"/>
        <v>#N/A</v>
      </c>
      <c r="I58" s="192" t="e">
        <f t="shared" si="11"/>
        <v>#N/A</v>
      </c>
      <c r="J58" s="192" t="e">
        <f t="shared" si="12"/>
        <v>#N/A</v>
      </c>
    </row>
    <row r="59" spans="1:10" s="4" customFormat="1" ht="12.75" x14ac:dyDescent="0.2"/>
    <row r="60" spans="1:10" s="4" customFormat="1" ht="12.75" x14ac:dyDescent="0.2"/>
    <row r="61" spans="1:10" s="4" customFormat="1" ht="12.75" x14ac:dyDescent="0.2"/>
    <row r="62" spans="1:10" s="4" customFormat="1" ht="12.75" x14ac:dyDescent="0.2"/>
    <row r="63" spans="1:10" s="4" customFormat="1" ht="12.75" x14ac:dyDescent="0.2"/>
    <row r="64" spans="1:10" s="4" customFormat="1" ht="12.75" x14ac:dyDescent="0.2"/>
    <row r="65" s="4" customFormat="1" ht="12.75" x14ac:dyDescent="0.2"/>
  </sheetData>
  <sortState xmlns:xlrd2="http://schemas.microsoft.com/office/spreadsheetml/2017/richdata2" ref="C6:J61">
    <sortCondition descending="1" ref="I7"/>
    <sortCondition descending="1" ref="J7"/>
  </sortState>
  <mergeCells count="4">
    <mergeCell ref="A1:K1"/>
    <mergeCell ref="E5:G5"/>
    <mergeCell ref="E3:J3"/>
    <mergeCell ref="F4:J4"/>
  </mergeCells>
  <phoneticPr fontId="4" type="noConversion"/>
  <conditionalFormatting sqref="A54:J58">
    <cfRule type="expression" dxfId="1" priority="1">
      <formula>$I54&gt;MEDIAN($I$7:$I$44)</formula>
    </cfRule>
  </conditionalFormatting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ankRobots">
                <anchor moveWithCells="1" sizeWithCells="1">
                  <from>
                    <xdr:col>0</xdr:col>
                    <xdr:colOff>38100</xdr:colOff>
                    <xdr:row>2</xdr:row>
                    <xdr:rowOff>19050</xdr:rowOff>
                  </from>
                  <to>
                    <xdr:col>3</xdr:col>
                    <xdr:colOff>1009650</xdr:colOff>
                    <xdr:row>2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9">
    <pageSetUpPr fitToPage="1"/>
  </sheetPr>
  <dimension ref="A1:BJ256"/>
  <sheetViews>
    <sheetView zoomScaleNormal="100" workbookViewId="0">
      <pane ySplit="4" topLeftCell="A5" activePane="bottomLeft" state="frozen"/>
      <selection pane="bottomLeft" activeCell="C5" sqref="C5"/>
    </sheetView>
  </sheetViews>
  <sheetFormatPr defaultColWidth="9.140625" defaultRowHeight="15.75" x14ac:dyDescent="0.25"/>
  <cols>
    <col min="1" max="1" width="9.28515625" style="209" bestFit="1" customWidth="1"/>
    <col min="2" max="2" width="0" style="209" hidden="1" customWidth="1"/>
    <col min="3" max="3" width="13.140625" style="209" customWidth="1"/>
    <col min="4" max="4" width="48.5703125" style="209" customWidth="1"/>
    <col min="5" max="5" width="10.140625" style="209" customWidth="1"/>
    <col min="6" max="9" width="10.28515625" style="209" customWidth="1"/>
    <col min="10" max="10" width="12.5703125" style="1" hidden="1" customWidth="1"/>
    <col min="11" max="11" width="8" style="1" hidden="1" customWidth="1"/>
    <col min="12" max="44" width="5.7109375" style="57" customWidth="1"/>
    <col min="45" max="57" width="5.7109375" style="1" customWidth="1"/>
    <col min="58" max="58" width="5.42578125" style="1" customWidth="1"/>
    <col min="59" max="16384" width="9.140625" style="1"/>
  </cols>
  <sheetData>
    <row r="1" spans="1:62" ht="48.75" customHeight="1" x14ac:dyDescent="0.35">
      <c r="A1" s="236" t="s">
        <v>269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36"/>
      <c r="M1" s="59"/>
      <c r="N1" s="59"/>
      <c r="O1" s="59"/>
      <c r="P1" s="59"/>
      <c r="Q1" s="59"/>
      <c r="R1" s="59"/>
      <c r="S1" s="59"/>
      <c r="T1" s="59"/>
      <c r="U1" s="59"/>
      <c r="V1" s="59"/>
      <c r="W1" s="59"/>
      <c r="X1" s="59"/>
      <c r="Y1" s="59"/>
      <c r="Z1" s="59"/>
      <c r="AA1" s="59"/>
      <c r="AB1" s="59"/>
      <c r="AC1" s="59"/>
      <c r="AD1" s="59"/>
      <c r="AE1" s="59"/>
      <c r="AF1" s="59"/>
      <c r="AG1" s="59"/>
      <c r="AH1" s="59"/>
      <c r="AI1" s="59"/>
      <c r="AJ1" s="59"/>
      <c r="AK1" s="59"/>
      <c r="AL1" s="59"/>
      <c r="AM1" s="59"/>
      <c r="AN1" s="59"/>
      <c r="AO1" s="59"/>
      <c r="AP1" s="59"/>
      <c r="AQ1" s="59"/>
      <c r="AR1" s="59"/>
      <c r="AS1" s="21"/>
      <c r="AT1" s="21"/>
      <c r="AU1" s="21"/>
      <c r="AV1" s="21"/>
      <c r="AW1" s="21"/>
      <c r="AX1" s="21"/>
      <c r="AY1" s="21"/>
      <c r="AZ1" s="21"/>
      <c r="BA1" s="21"/>
      <c r="BB1" s="21"/>
      <c r="BC1" s="21"/>
      <c r="BD1" s="21"/>
      <c r="BE1" s="21"/>
      <c r="BF1" s="22"/>
      <c r="BG1" s="22"/>
      <c r="BH1" s="22"/>
      <c r="BI1" s="22"/>
      <c r="BJ1" s="22"/>
    </row>
    <row r="2" spans="1:62" s="4" customFormat="1" ht="27.75" customHeight="1" x14ac:dyDescent="0.3">
      <c r="A2" s="196"/>
      <c r="B2" s="196"/>
      <c r="C2" s="197"/>
      <c r="D2" s="197"/>
      <c r="E2" s="197"/>
      <c r="F2" s="198"/>
      <c r="G2" s="238"/>
      <c r="H2" s="238"/>
      <c r="I2" s="238"/>
      <c r="J2" s="238"/>
      <c r="K2" s="238"/>
      <c r="L2" s="56"/>
      <c r="M2" s="56"/>
      <c r="N2" s="56"/>
      <c r="O2" s="60"/>
      <c r="P2" s="55"/>
      <c r="Q2" s="55"/>
      <c r="R2" s="55"/>
      <c r="S2" s="55"/>
      <c r="T2" s="56"/>
      <c r="U2" s="56"/>
      <c r="V2" s="56"/>
      <c r="W2" s="56"/>
      <c r="X2" s="56"/>
      <c r="Y2" s="56"/>
      <c r="Z2" s="56"/>
      <c r="AA2" s="56"/>
      <c r="AB2" s="56"/>
      <c r="AC2" s="56"/>
      <c r="AD2" s="56"/>
      <c r="AE2" s="56"/>
      <c r="AF2" s="56"/>
      <c r="AG2" s="56"/>
      <c r="AH2" s="56"/>
      <c r="AI2" s="56"/>
      <c r="AJ2" s="56"/>
      <c r="AK2" s="56"/>
      <c r="AL2" s="56"/>
      <c r="AM2" s="56"/>
      <c r="AN2" s="56"/>
      <c r="AO2" s="56"/>
      <c r="AP2" s="56"/>
      <c r="AQ2" s="56"/>
      <c r="AR2" s="56"/>
      <c r="AS2" s="23"/>
      <c r="AT2" s="23"/>
      <c r="AU2" s="23"/>
      <c r="AV2" s="23"/>
      <c r="AW2" s="23"/>
      <c r="AX2" s="23"/>
      <c r="AY2" s="23"/>
      <c r="AZ2" s="23"/>
      <c r="BA2" s="23"/>
      <c r="BB2" s="23"/>
      <c r="BC2" s="23"/>
      <c r="BD2" s="23"/>
      <c r="BE2" s="23"/>
      <c r="BF2" s="24"/>
      <c r="BG2" s="24"/>
      <c r="BH2" s="24"/>
      <c r="BI2" s="24"/>
      <c r="BJ2" s="24"/>
    </row>
    <row r="3" spans="1:62" ht="16.5" thickBot="1" x14ac:dyDescent="0.3">
      <c r="A3" s="199"/>
      <c r="B3" s="199"/>
      <c r="C3" s="200"/>
      <c r="D3" s="201"/>
      <c r="E3" s="201"/>
      <c r="F3" s="237"/>
      <c r="G3" s="237"/>
      <c r="H3" s="237"/>
      <c r="I3" s="202"/>
      <c r="J3" s="58"/>
      <c r="K3" s="57"/>
      <c r="O3" s="60"/>
      <c r="AS3" s="22"/>
      <c r="AT3" s="22"/>
      <c r="AU3" s="22"/>
      <c r="AV3" s="22"/>
      <c r="AW3" s="22"/>
      <c r="AX3" s="22"/>
      <c r="AY3" s="22"/>
      <c r="AZ3" s="22"/>
      <c r="BA3" s="22"/>
      <c r="BB3" s="22"/>
      <c r="BC3" s="22"/>
      <c r="BD3" s="22"/>
      <c r="BE3" s="22"/>
      <c r="BF3" s="22"/>
      <c r="BG3" s="22"/>
      <c r="BH3" s="22"/>
      <c r="BI3" s="22"/>
      <c r="BJ3" s="22"/>
    </row>
    <row r="4" spans="1:62" s="5" customFormat="1" ht="140.25" customHeight="1" thickBot="1" x14ac:dyDescent="0.4">
      <c r="A4" s="203" t="s">
        <v>16</v>
      </c>
      <c r="B4" s="203" t="s">
        <v>8</v>
      </c>
      <c r="C4" s="203" t="s">
        <v>9</v>
      </c>
      <c r="D4" s="204" t="s">
        <v>25</v>
      </c>
      <c r="E4" s="205" t="s">
        <v>29</v>
      </c>
      <c r="F4" s="205" t="s">
        <v>31</v>
      </c>
      <c r="G4" s="205" t="s">
        <v>32</v>
      </c>
      <c r="H4" s="205" t="s">
        <v>188</v>
      </c>
      <c r="I4" s="205" t="s">
        <v>111</v>
      </c>
      <c r="J4" s="20" t="s">
        <v>3</v>
      </c>
      <c r="K4" s="15" t="s">
        <v>2</v>
      </c>
      <c r="L4" s="60"/>
      <c r="M4" s="60"/>
      <c r="N4" s="60"/>
      <c r="O4" s="60"/>
      <c r="P4" s="60"/>
      <c r="Q4" s="60"/>
      <c r="R4" s="60"/>
      <c r="S4" s="60"/>
      <c r="T4" s="60"/>
      <c r="U4" s="60"/>
      <c r="V4" s="60"/>
      <c r="W4" s="60"/>
      <c r="X4" s="60"/>
      <c r="Y4" s="60"/>
      <c r="Z4" s="60"/>
      <c r="AA4" s="60"/>
      <c r="AB4" s="60"/>
      <c r="AC4" s="60"/>
      <c r="AD4" s="60"/>
      <c r="AE4" s="60"/>
      <c r="AF4" s="60"/>
      <c r="AG4" s="60"/>
      <c r="AH4" s="60"/>
      <c r="AI4" s="60"/>
      <c r="AJ4" s="60"/>
      <c r="AK4" s="60"/>
      <c r="AL4" s="60"/>
      <c r="AM4" s="60"/>
      <c r="AN4" s="60"/>
      <c r="AO4" s="60"/>
      <c r="AP4" s="60"/>
      <c r="AQ4" s="60"/>
      <c r="AR4" s="60"/>
      <c r="AS4" s="25"/>
      <c r="AT4" s="25"/>
      <c r="AU4" s="25"/>
      <c r="AV4" s="25"/>
      <c r="AW4" s="25"/>
      <c r="AX4" s="25"/>
      <c r="AY4" s="25"/>
      <c r="AZ4" s="25"/>
      <c r="BA4" s="25"/>
      <c r="BB4" s="25"/>
      <c r="BC4" s="25"/>
      <c r="BD4" s="25"/>
      <c r="BE4" s="25"/>
      <c r="BF4" s="25"/>
      <c r="BG4" s="25"/>
      <c r="BH4" s="25"/>
      <c r="BI4" s="25"/>
      <c r="BJ4" s="25"/>
    </row>
    <row r="5" spans="1:62" s="4" customFormat="1" ht="21" x14ac:dyDescent="0.35">
      <c r="A5" s="206">
        <v>1</v>
      </c>
      <c r="B5" s="207">
        <f>'Team Database'!A41</f>
        <v>0</v>
      </c>
      <c r="C5" s="208">
        <v>3549</v>
      </c>
      <c r="D5" s="222" t="str">
        <f t="shared" ref="D5:D52" si="0">VLOOKUP($C5,PerformanceData,2,FALSE)</f>
        <v>Robotic Ruins</v>
      </c>
      <c r="E5" s="206">
        <f t="shared" ref="E5:E52" si="1">VLOOKUP($C5,PerformanceData,3,FALSE)</f>
        <v>100</v>
      </c>
      <c r="F5" s="206">
        <f t="shared" ref="F5:F52" si="2">VLOOKUP($C5,PerformanceData,4,FALSE)</f>
        <v>0</v>
      </c>
      <c r="G5" s="206">
        <f t="shared" ref="G5:G52" si="3">VLOOKUP($C5,PerformanceData,5,FALSE)</f>
        <v>0</v>
      </c>
      <c r="H5" s="206">
        <f t="shared" ref="H5:H52" si="4">VLOOKUP($C5,PerformanceData,6,FALSE)</f>
        <v>0</v>
      </c>
      <c r="I5" s="206">
        <f t="shared" ref="I5:I52" si="5">MAX(E5:H5)</f>
        <v>100</v>
      </c>
      <c r="J5" s="26">
        <f t="shared" ref="J5:J52" si="6">AVERAGE(E5:H5)</f>
        <v>25</v>
      </c>
      <c r="K5" s="6">
        <f>'Team Database'!H23</f>
        <v>0</v>
      </c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5"/>
      <c r="AD5" s="55"/>
      <c r="AE5" s="55"/>
      <c r="AF5" s="55"/>
      <c r="AG5" s="55"/>
      <c r="AH5" s="55"/>
      <c r="AI5" s="55"/>
      <c r="AJ5" s="55"/>
      <c r="AK5" s="55"/>
      <c r="AL5" s="55"/>
      <c r="AM5" s="55"/>
      <c r="AN5" s="55"/>
      <c r="AO5" s="55"/>
      <c r="AP5" s="55"/>
      <c r="AQ5" s="55"/>
      <c r="AR5" s="55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</row>
    <row r="6" spans="1:62" s="4" customFormat="1" ht="21" x14ac:dyDescent="0.35">
      <c r="A6" s="206">
        <v>2</v>
      </c>
      <c r="B6" s="207">
        <f>'Team Database'!A31</f>
        <v>0</v>
      </c>
      <c r="C6" s="208">
        <v>3649</v>
      </c>
      <c r="D6" s="208" t="str">
        <f t="shared" si="0"/>
        <v>The Gold Miners</v>
      </c>
      <c r="E6" s="206">
        <f t="shared" si="1"/>
        <v>50</v>
      </c>
      <c r="F6" s="206">
        <f t="shared" si="2"/>
        <v>0</v>
      </c>
      <c r="G6" s="206">
        <f t="shared" si="3"/>
        <v>0</v>
      </c>
      <c r="H6" s="206">
        <f t="shared" si="4"/>
        <v>0</v>
      </c>
      <c r="I6" s="206">
        <f t="shared" si="5"/>
        <v>50</v>
      </c>
      <c r="J6" s="26">
        <f t="shared" si="6"/>
        <v>12.5</v>
      </c>
      <c r="K6" s="6" t="e">
        <f>'Team Database'!#REF!</f>
        <v>#REF!</v>
      </c>
      <c r="L6" s="55"/>
      <c r="M6" s="55"/>
      <c r="N6" s="55"/>
      <c r="O6" s="55"/>
      <c r="P6" s="55"/>
      <c r="Q6" s="55"/>
      <c r="R6" s="55"/>
      <c r="S6" s="55"/>
      <c r="T6" s="55"/>
      <c r="U6" s="55"/>
      <c r="V6" s="55"/>
      <c r="W6" s="55"/>
      <c r="X6" s="55"/>
      <c r="Y6" s="55"/>
      <c r="Z6" s="55"/>
      <c r="AA6" s="55"/>
      <c r="AB6" s="55"/>
      <c r="AC6" s="55"/>
      <c r="AD6" s="55"/>
      <c r="AE6" s="55"/>
      <c r="AF6" s="55"/>
      <c r="AG6" s="55"/>
      <c r="AH6" s="55"/>
      <c r="AI6" s="55"/>
      <c r="AJ6" s="55"/>
      <c r="AK6" s="55"/>
      <c r="AL6" s="55"/>
      <c r="AM6" s="55"/>
      <c r="AN6" s="55"/>
      <c r="AO6" s="55"/>
      <c r="AP6" s="55"/>
      <c r="AQ6" s="55"/>
      <c r="AR6" s="55"/>
      <c r="AS6" s="24"/>
      <c r="AT6" s="24"/>
      <c r="AU6" s="24"/>
      <c r="AV6" s="24"/>
      <c r="AW6" s="24"/>
      <c r="AX6" s="24"/>
      <c r="AY6" s="24"/>
      <c r="AZ6" s="24"/>
      <c r="BA6" s="24"/>
      <c r="BB6" s="24"/>
      <c r="BC6" s="24"/>
      <c r="BD6" s="24"/>
      <c r="BE6" s="24"/>
      <c r="BF6" s="24"/>
      <c r="BG6" s="24"/>
      <c r="BH6" s="24"/>
      <c r="BI6" s="24"/>
      <c r="BJ6" s="24"/>
    </row>
    <row r="7" spans="1:62" s="4" customFormat="1" ht="21" x14ac:dyDescent="0.35">
      <c r="A7" s="206">
        <v>3</v>
      </c>
      <c r="B7" s="207">
        <f>'Team Database'!A23</f>
        <v>0</v>
      </c>
      <c r="C7" s="208">
        <v>16821</v>
      </c>
      <c r="D7" s="208" t="str">
        <f t="shared" si="0"/>
        <v>Robotic Knighthawks</v>
      </c>
      <c r="E7" s="206">
        <f t="shared" si="1"/>
        <v>25</v>
      </c>
      <c r="F7" s="206">
        <f t="shared" si="2"/>
        <v>0</v>
      </c>
      <c r="G7" s="206">
        <f t="shared" si="3"/>
        <v>0</v>
      </c>
      <c r="H7" s="206">
        <f t="shared" si="4"/>
        <v>0</v>
      </c>
      <c r="I7" s="206">
        <f t="shared" si="5"/>
        <v>25</v>
      </c>
      <c r="J7" s="26">
        <f t="shared" si="6"/>
        <v>6.25</v>
      </c>
      <c r="K7" s="6">
        <f>'Team Database'!H20</f>
        <v>0</v>
      </c>
      <c r="L7" s="55"/>
      <c r="M7" s="55"/>
      <c r="N7" s="55"/>
      <c r="O7" s="55"/>
      <c r="P7" s="55"/>
      <c r="Q7" s="55"/>
      <c r="R7" s="55"/>
      <c r="S7" s="55"/>
      <c r="T7" s="55"/>
      <c r="U7" s="55"/>
      <c r="V7" s="55"/>
      <c r="W7" s="55"/>
      <c r="X7" s="55"/>
      <c r="Y7" s="55"/>
      <c r="Z7" s="55"/>
      <c r="AA7" s="55"/>
      <c r="AB7" s="55"/>
      <c r="AC7" s="55"/>
      <c r="AD7" s="55"/>
      <c r="AE7" s="55"/>
      <c r="AF7" s="55"/>
      <c r="AG7" s="55"/>
      <c r="AH7" s="55"/>
      <c r="AI7" s="55"/>
      <c r="AJ7" s="55"/>
      <c r="AK7" s="55"/>
      <c r="AL7" s="55"/>
      <c r="AM7" s="55"/>
      <c r="AN7" s="55"/>
      <c r="AO7" s="55"/>
      <c r="AP7" s="55"/>
      <c r="AQ7" s="55"/>
      <c r="AR7" s="55"/>
      <c r="AS7" s="24"/>
      <c r="AT7" s="24"/>
      <c r="AU7" s="24"/>
      <c r="AV7" s="24"/>
      <c r="AW7" s="24"/>
      <c r="AX7" s="24"/>
      <c r="AY7" s="24"/>
      <c r="AZ7" s="24"/>
      <c r="BA7" s="24"/>
      <c r="BB7" s="24"/>
      <c r="BC7" s="24"/>
      <c r="BD7" s="24"/>
      <c r="BE7" s="24"/>
      <c r="BF7" s="24"/>
      <c r="BG7" s="24"/>
      <c r="BH7" s="24"/>
      <c r="BI7" s="24"/>
      <c r="BJ7" s="24"/>
    </row>
    <row r="8" spans="1:62" s="4" customFormat="1" ht="21" x14ac:dyDescent="0.35">
      <c r="A8" s="206">
        <v>4</v>
      </c>
      <c r="B8" s="207">
        <f>'Team Database'!A27</f>
        <v>0</v>
      </c>
      <c r="C8" s="208">
        <v>17791</v>
      </c>
      <c r="D8" s="208" t="str">
        <f t="shared" si="0"/>
        <v>Artifact Maniacs</v>
      </c>
      <c r="E8" s="206">
        <f t="shared" si="1"/>
        <v>0</v>
      </c>
      <c r="F8" s="206">
        <f t="shared" si="2"/>
        <v>0</v>
      </c>
      <c r="G8" s="206">
        <f t="shared" si="3"/>
        <v>0</v>
      </c>
      <c r="H8" s="206">
        <f t="shared" si="4"/>
        <v>0</v>
      </c>
      <c r="I8" s="206">
        <f t="shared" si="5"/>
        <v>0</v>
      </c>
      <c r="J8" s="26">
        <f t="shared" si="6"/>
        <v>0</v>
      </c>
      <c r="K8" s="6">
        <f>'Team Database'!H15</f>
        <v>0</v>
      </c>
      <c r="L8" s="55"/>
      <c r="M8" s="55"/>
      <c r="N8" s="55"/>
      <c r="O8" s="55"/>
      <c r="P8" s="55"/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  <c r="AD8" s="55"/>
      <c r="AE8" s="55"/>
      <c r="AF8" s="55"/>
      <c r="AG8" s="55"/>
      <c r="AH8" s="55"/>
      <c r="AI8" s="55"/>
      <c r="AJ8" s="55"/>
      <c r="AK8" s="55"/>
      <c r="AL8" s="55"/>
      <c r="AM8" s="55"/>
      <c r="AN8" s="55"/>
      <c r="AO8" s="55"/>
      <c r="AP8" s="55"/>
      <c r="AQ8" s="55"/>
      <c r="AR8" s="55"/>
      <c r="AS8" s="24"/>
      <c r="AT8" s="24"/>
      <c r="AU8" s="24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</row>
    <row r="9" spans="1:62" s="4" customFormat="1" ht="21" x14ac:dyDescent="0.35">
      <c r="A9" s="206">
        <v>5</v>
      </c>
      <c r="B9" s="207">
        <f>'Team Database'!A20</f>
        <v>0</v>
      </c>
      <c r="C9" s="208">
        <v>17981</v>
      </c>
      <c r="D9" s="208" t="str">
        <f t="shared" si="0"/>
        <v>Techno Bananas</v>
      </c>
      <c r="E9" s="206">
        <f t="shared" si="1"/>
        <v>0</v>
      </c>
      <c r="F9" s="206">
        <f t="shared" si="2"/>
        <v>0</v>
      </c>
      <c r="G9" s="206">
        <f t="shared" si="3"/>
        <v>0</v>
      </c>
      <c r="H9" s="206">
        <f t="shared" si="4"/>
        <v>0</v>
      </c>
      <c r="I9" s="206">
        <f t="shared" si="5"/>
        <v>0</v>
      </c>
      <c r="J9" s="26">
        <f t="shared" si="6"/>
        <v>0</v>
      </c>
      <c r="K9" s="6">
        <f>'Team Database'!H10</f>
        <v>25</v>
      </c>
      <c r="L9" s="55"/>
      <c r="M9" s="55"/>
      <c r="N9" s="55"/>
      <c r="O9" s="55"/>
      <c r="P9" s="55"/>
      <c r="Q9" s="55"/>
      <c r="R9" s="55"/>
      <c r="S9" s="55"/>
      <c r="T9" s="55"/>
      <c r="U9" s="55"/>
      <c r="V9" s="55"/>
      <c r="W9" s="55"/>
      <c r="X9" s="55"/>
      <c r="Y9" s="55"/>
      <c r="Z9" s="55"/>
      <c r="AA9" s="55"/>
      <c r="AB9" s="55"/>
      <c r="AC9" s="55"/>
      <c r="AD9" s="55"/>
      <c r="AE9" s="55"/>
      <c r="AF9" s="55"/>
      <c r="AG9" s="55"/>
      <c r="AH9" s="55"/>
      <c r="AI9" s="55"/>
      <c r="AJ9" s="55"/>
      <c r="AK9" s="55"/>
      <c r="AL9" s="55"/>
      <c r="AM9" s="55"/>
      <c r="AN9" s="55"/>
      <c r="AO9" s="55"/>
      <c r="AP9" s="55"/>
      <c r="AQ9" s="55"/>
      <c r="AR9" s="55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</row>
    <row r="10" spans="1:62" s="4" customFormat="1" ht="21" x14ac:dyDescent="0.35">
      <c r="A10" s="206">
        <v>6</v>
      </c>
      <c r="B10" s="207">
        <f>'Team Database'!A8</f>
        <v>0</v>
      </c>
      <c r="C10" s="208">
        <v>22287</v>
      </c>
      <c r="D10" s="208" t="str">
        <f t="shared" si="0"/>
        <v>Morgan Elementary Sharks</v>
      </c>
      <c r="E10" s="206">
        <f t="shared" si="1"/>
        <v>0</v>
      </c>
      <c r="F10" s="206">
        <f t="shared" si="2"/>
        <v>0</v>
      </c>
      <c r="G10" s="206">
        <f t="shared" si="3"/>
        <v>0</v>
      </c>
      <c r="H10" s="206">
        <f t="shared" si="4"/>
        <v>0</v>
      </c>
      <c r="I10" s="206">
        <f t="shared" si="5"/>
        <v>0</v>
      </c>
      <c r="J10" s="26">
        <f t="shared" si="6"/>
        <v>0</v>
      </c>
      <c r="K10" s="6">
        <f>'Team Database'!H27</f>
        <v>0</v>
      </c>
      <c r="L10" s="55"/>
      <c r="M10" s="55"/>
      <c r="N10" s="55"/>
      <c r="O10" s="55"/>
      <c r="P10" s="55"/>
      <c r="Q10" s="55"/>
      <c r="R10" s="55"/>
      <c r="S10" s="55"/>
      <c r="T10" s="55"/>
      <c r="U10" s="55"/>
      <c r="V10" s="55"/>
      <c r="W10" s="55"/>
      <c r="X10" s="55"/>
      <c r="Y10" s="55"/>
      <c r="Z10" s="55"/>
      <c r="AA10" s="55"/>
      <c r="AB10" s="55"/>
      <c r="AC10" s="55"/>
      <c r="AD10" s="55"/>
      <c r="AE10" s="55"/>
      <c r="AF10" s="55"/>
      <c r="AG10" s="55"/>
      <c r="AH10" s="55"/>
      <c r="AI10" s="55"/>
      <c r="AJ10" s="55"/>
      <c r="AK10" s="55"/>
      <c r="AL10" s="55"/>
      <c r="AM10" s="55"/>
      <c r="AN10" s="55"/>
      <c r="AO10" s="55"/>
      <c r="AP10" s="55"/>
      <c r="AQ10" s="55"/>
      <c r="AR10" s="55"/>
      <c r="AS10" s="24"/>
      <c r="AT10" s="24"/>
      <c r="AU10" s="24"/>
      <c r="AV10" s="24"/>
      <c r="AW10" s="24"/>
      <c r="AX10" s="24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24"/>
      <c r="BJ10" s="24"/>
    </row>
    <row r="11" spans="1:62" s="4" customFormat="1" ht="21" x14ac:dyDescent="0.35">
      <c r="A11" s="206">
        <v>7</v>
      </c>
      <c r="B11" s="207">
        <f>'Team Database'!A39</f>
        <v>0</v>
      </c>
      <c r="C11" s="208">
        <v>23817</v>
      </c>
      <c r="D11" s="208" t="str">
        <f t="shared" si="0"/>
        <v>Astro Knighthawks</v>
      </c>
      <c r="E11" s="206">
        <f t="shared" si="1"/>
        <v>0</v>
      </c>
      <c r="F11" s="206">
        <f t="shared" si="2"/>
        <v>0</v>
      </c>
      <c r="G11" s="206">
        <f t="shared" si="3"/>
        <v>0</v>
      </c>
      <c r="H11" s="206">
        <f t="shared" si="4"/>
        <v>0</v>
      </c>
      <c r="I11" s="206">
        <f t="shared" si="5"/>
        <v>0</v>
      </c>
      <c r="J11" s="26">
        <f t="shared" si="6"/>
        <v>0</v>
      </c>
      <c r="K11" s="6">
        <f>'Team Database'!H14</f>
        <v>0</v>
      </c>
      <c r="L11" s="55"/>
      <c r="M11" s="55"/>
      <c r="N11" s="55"/>
      <c r="O11" s="55"/>
      <c r="P11" s="55"/>
      <c r="Q11" s="55"/>
      <c r="R11" s="55"/>
      <c r="S11" s="55"/>
      <c r="T11" s="55"/>
      <c r="U11" s="55"/>
      <c r="V11" s="55"/>
      <c r="W11" s="55"/>
      <c r="X11" s="55"/>
      <c r="Y11" s="55"/>
      <c r="Z11" s="55"/>
      <c r="AA11" s="55"/>
      <c r="AB11" s="55"/>
      <c r="AC11" s="55"/>
      <c r="AD11" s="55"/>
      <c r="AE11" s="55"/>
      <c r="AF11" s="55"/>
      <c r="AG11" s="55"/>
      <c r="AH11" s="55"/>
      <c r="AI11" s="55"/>
      <c r="AJ11" s="55"/>
      <c r="AK11" s="55"/>
      <c r="AL11" s="55"/>
      <c r="AM11" s="55"/>
      <c r="AN11" s="55"/>
      <c r="AO11" s="55"/>
      <c r="AP11" s="55"/>
      <c r="AQ11" s="55"/>
      <c r="AR11" s="55"/>
      <c r="AS11" s="24"/>
      <c r="AT11" s="24"/>
      <c r="AU11" s="24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</row>
    <row r="12" spans="1:62" s="4" customFormat="1" ht="21" x14ac:dyDescent="0.35">
      <c r="A12" s="206">
        <v>8</v>
      </c>
      <c r="B12" s="207">
        <f>'Team Database'!A33</f>
        <v>0</v>
      </c>
      <c r="C12" s="208">
        <v>25341</v>
      </c>
      <c r="D12" s="208" t="str">
        <f t="shared" si="0"/>
        <v>Techno Tie-Dye Tater Tots</v>
      </c>
      <c r="E12" s="206">
        <f t="shared" si="1"/>
        <v>0</v>
      </c>
      <c r="F12" s="206">
        <f t="shared" si="2"/>
        <v>0</v>
      </c>
      <c r="G12" s="206">
        <f t="shared" si="3"/>
        <v>0</v>
      </c>
      <c r="H12" s="206">
        <f t="shared" si="4"/>
        <v>0</v>
      </c>
      <c r="I12" s="206">
        <f t="shared" si="5"/>
        <v>0</v>
      </c>
      <c r="J12" s="26">
        <f t="shared" si="6"/>
        <v>0</v>
      </c>
      <c r="K12" s="6">
        <f>'Team Database'!H21</f>
        <v>0</v>
      </c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W12" s="55"/>
      <c r="X12" s="55"/>
      <c r="Y12" s="55"/>
      <c r="Z12" s="55"/>
      <c r="AA12" s="55"/>
      <c r="AB12" s="55"/>
      <c r="AC12" s="55"/>
      <c r="AD12" s="55"/>
      <c r="AE12" s="55"/>
      <c r="AF12" s="55"/>
      <c r="AG12" s="55"/>
      <c r="AH12" s="55"/>
      <c r="AI12" s="55"/>
      <c r="AJ12" s="55"/>
      <c r="AK12" s="55"/>
      <c r="AL12" s="55"/>
      <c r="AM12" s="55"/>
      <c r="AN12" s="55"/>
      <c r="AO12" s="55"/>
      <c r="AP12" s="55"/>
      <c r="AQ12" s="55"/>
      <c r="AR12" s="55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</row>
    <row r="13" spans="1:62" s="4" customFormat="1" ht="21" x14ac:dyDescent="0.35">
      <c r="A13" s="206">
        <v>9</v>
      </c>
      <c r="B13" s="207">
        <f>'Team Database'!A17</f>
        <v>0</v>
      </c>
      <c r="C13" s="208">
        <v>27540</v>
      </c>
      <c r="D13" s="208" t="str">
        <f t="shared" si="0"/>
        <v>Bionic Eagles</v>
      </c>
      <c r="E13" s="206">
        <f t="shared" si="1"/>
        <v>0</v>
      </c>
      <c r="F13" s="206">
        <f t="shared" si="2"/>
        <v>0</v>
      </c>
      <c r="G13" s="206">
        <f t="shared" si="3"/>
        <v>0</v>
      </c>
      <c r="H13" s="206">
        <f t="shared" si="4"/>
        <v>0</v>
      </c>
      <c r="I13" s="206">
        <f t="shared" si="5"/>
        <v>0</v>
      </c>
      <c r="J13" s="26">
        <f t="shared" si="6"/>
        <v>0</v>
      </c>
      <c r="K13" s="6">
        <f>'Team Database'!H29</f>
        <v>0</v>
      </c>
      <c r="L13" s="55"/>
      <c r="M13" s="55"/>
      <c r="N13" s="55"/>
      <c r="O13" s="55"/>
      <c r="P13" s="55"/>
      <c r="Q13" s="55"/>
      <c r="R13" s="55"/>
      <c r="S13" s="55"/>
      <c r="T13" s="55"/>
      <c r="U13" s="55"/>
      <c r="V13" s="55"/>
      <c r="W13" s="55"/>
      <c r="X13" s="55"/>
      <c r="Y13" s="55"/>
      <c r="Z13" s="55"/>
      <c r="AA13" s="55"/>
      <c r="AB13" s="55"/>
      <c r="AC13" s="55"/>
      <c r="AD13" s="55"/>
      <c r="AE13" s="55"/>
      <c r="AF13" s="55"/>
      <c r="AG13" s="55"/>
      <c r="AH13" s="55"/>
      <c r="AI13" s="55"/>
      <c r="AJ13" s="55"/>
      <c r="AK13" s="55"/>
      <c r="AL13" s="55"/>
      <c r="AM13" s="55"/>
      <c r="AN13" s="55"/>
      <c r="AO13" s="55"/>
      <c r="AP13" s="55"/>
      <c r="AQ13" s="55"/>
      <c r="AR13" s="55"/>
      <c r="AS13" s="24"/>
      <c r="AT13" s="24"/>
      <c r="AU13" s="24"/>
      <c r="AV13" s="24"/>
      <c r="AW13" s="24"/>
      <c r="AX13" s="24"/>
      <c r="AY13" s="24"/>
      <c r="AZ13" s="24"/>
      <c r="BA13" s="24"/>
      <c r="BB13" s="24"/>
      <c r="BC13" s="24"/>
      <c r="BD13" s="24"/>
      <c r="BE13" s="24"/>
      <c r="BF13" s="24"/>
      <c r="BG13" s="24"/>
      <c r="BH13" s="24"/>
      <c r="BI13" s="24"/>
      <c r="BJ13" s="24"/>
    </row>
    <row r="14" spans="1:62" s="4" customFormat="1" ht="21" x14ac:dyDescent="0.35">
      <c r="A14" s="206">
        <v>10</v>
      </c>
      <c r="B14" s="207">
        <f>'Team Database'!A32</f>
        <v>0</v>
      </c>
      <c r="C14" s="208">
        <v>29548</v>
      </c>
      <c r="D14" s="208" t="str">
        <f t="shared" si="0"/>
        <v>Ferndroids</v>
      </c>
      <c r="E14" s="206">
        <f t="shared" si="1"/>
        <v>0</v>
      </c>
      <c r="F14" s="206">
        <f t="shared" si="2"/>
        <v>0</v>
      </c>
      <c r="G14" s="206">
        <f t="shared" si="3"/>
        <v>0</v>
      </c>
      <c r="H14" s="206">
        <f t="shared" si="4"/>
        <v>0</v>
      </c>
      <c r="I14" s="206">
        <f t="shared" si="5"/>
        <v>0</v>
      </c>
      <c r="J14" s="26">
        <f t="shared" si="6"/>
        <v>0</v>
      </c>
      <c r="K14" s="6">
        <f>'Team Database'!H24</f>
        <v>0</v>
      </c>
      <c r="L14" s="55"/>
      <c r="M14" s="55"/>
      <c r="N14" s="55"/>
      <c r="O14" s="55"/>
      <c r="P14" s="55"/>
      <c r="Q14" s="55"/>
      <c r="R14" s="55"/>
      <c r="S14" s="55"/>
      <c r="T14" s="55"/>
      <c r="U14" s="55"/>
      <c r="V14" s="55"/>
      <c r="W14" s="55"/>
      <c r="X14" s="55"/>
      <c r="Y14" s="55"/>
      <c r="Z14" s="55"/>
      <c r="AA14" s="55"/>
      <c r="AB14" s="55"/>
      <c r="AC14" s="55"/>
      <c r="AD14" s="55"/>
      <c r="AE14" s="55"/>
      <c r="AF14" s="55"/>
      <c r="AG14" s="55"/>
      <c r="AH14" s="55"/>
      <c r="AI14" s="55"/>
      <c r="AJ14" s="55"/>
      <c r="AK14" s="55"/>
      <c r="AL14" s="55"/>
      <c r="AM14" s="55"/>
      <c r="AN14" s="55"/>
      <c r="AO14" s="55"/>
      <c r="AP14" s="55"/>
      <c r="AQ14" s="55"/>
      <c r="AR14" s="55"/>
      <c r="AS14" s="24"/>
      <c r="AT14" s="24"/>
      <c r="AU14" s="24"/>
      <c r="AV14" s="24"/>
      <c r="AW14" s="24"/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4"/>
      <c r="BJ14" s="24"/>
    </row>
    <row r="15" spans="1:62" s="4" customFormat="1" ht="21" x14ac:dyDescent="0.35">
      <c r="A15" s="206">
        <v>11</v>
      </c>
      <c r="B15" s="207">
        <f>'Team Database'!A30</f>
        <v>0</v>
      </c>
      <c r="C15" s="208">
        <v>31568</v>
      </c>
      <c r="D15" s="208" t="str">
        <f t="shared" si="0"/>
        <v>Robonauts</v>
      </c>
      <c r="E15" s="206">
        <f t="shared" si="1"/>
        <v>0</v>
      </c>
      <c r="F15" s="206">
        <f t="shared" si="2"/>
        <v>0</v>
      </c>
      <c r="G15" s="206">
        <f t="shared" si="3"/>
        <v>0</v>
      </c>
      <c r="H15" s="206">
        <f t="shared" si="4"/>
        <v>0</v>
      </c>
      <c r="I15" s="206">
        <f t="shared" si="5"/>
        <v>0</v>
      </c>
      <c r="J15" s="26">
        <f t="shared" si="6"/>
        <v>0</v>
      </c>
      <c r="K15" s="6">
        <f>'Team Database'!H35</f>
        <v>0</v>
      </c>
      <c r="L15" s="55"/>
      <c r="M15" s="55"/>
      <c r="N15" s="55"/>
      <c r="O15" s="55"/>
      <c r="P15" s="55"/>
      <c r="Q15" s="55"/>
      <c r="R15" s="55"/>
      <c r="S15" s="55"/>
      <c r="T15" s="55"/>
      <c r="U15" s="55"/>
      <c r="V15" s="55"/>
      <c r="W15" s="55"/>
      <c r="X15" s="55"/>
      <c r="Y15" s="55"/>
      <c r="Z15" s="55"/>
      <c r="AA15" s="55"/>
      <c r="AB15" s="55"/>
      <c r="AC15" s="55"/>
      <c r="AD15" s="55"/>
      <c r="AE15" s="55"/>
      <c r="AF15" s="55"/>
      <c r="AG15" s="55"/>
      <c r="AH15" s="55"/>
      <c r="AI15" s="55"/>
      <c r="AJ15" s="55"/>
      <c r="AK15" s="55"/>
      <c r="AL15" s="55"/>
      <c r="AM15" s="55"/>
      <c r="AN15" s="55"/>
      <c r="AO15" s="55"/>
      <c r="AP15" s="55"/>
      <c r="AQ15" s="55"/>
      <c r="AR15" s="55"/>
      <c r="AS15" s="24"/>
      <c r="AT15" s="24"/>
      <c r="AU15" s="24"/>
      <c r="AV15" s="24"/>
      <c r="AW15" s="24"/>
      <c r="AX15" s="24"/>
      <c r="AY15" s="24"/>
      <c r="AZ15" s="24"/>
      <c r="BA15" s="24"/>
      <c r="BB15" s="24"/>
      <c r="BC15" s="24"/>
      <c r="BD15" s="24"/>
      <c r="BE15" s="24"/>
      <c r="BF15" s="24"/>
      <c r="BG15" s="24"/>
      <c r="BH15" s="24"/>
      <c r="BI15" s="24"/>
      <c r="BJ15" s="24"/>
    </row>
    <row r="16" spans="1:62" s="4" customFormat="1" ht="21" x14ac:dyDescent="0.35">
      <c r="A16" s="206">
        <v>12</v>
      </c>
      <c r="B16" s="207">
        <f>'Team Database'!A28</f>
        <v>0</v>
      </c>
      <c r="C16" s="208">
        <v>31757</v>
      </c>
      <c r="D16" s="208" t="str">
        <f t="shared" si="0"/>
        <v>Techno Titans</v>
      </c>
      <c r="E16" s="206">
        <f t="shared" si="1"/>
        <v>0</v>
      </c>
      <c r="F16" s="206">
        <f t="shared" si="2"/>
        <v>0</v>
      </c>
      <c r="G16" s="206">
        <f t="shared" si="3"/>
        <v>0</v>
      </c>
      <c r="H16" s="206">
        <f t="shared" si="4"/>
        <v>0</v>
      </c>
      <c r="I16" s="206">
        <f t="shared" si="5"/>
        <v>0</v>
      </c>
      <c r="J16" s="26">
        <f t="shared" si="6"/>
        <v>0</v>
      </c>
      <c r="K16" s="6">
        <f>'Team Database'!H8</f>
        <v>100</v>
      </c>
      <c r="L16" s="55"/>
      <c r="M16" s="55"/>
      <c r="N16" s="55"/>
      <c r="O16" s="55"/>
      <c r="P16" s="55"/>
      <c r="Q16" s="55"/>
      <c r="R16" s="55"/>
      <c r="S16" s="55"/>
      <c r="T16" s="55"/>
      <c r="U16" s="55"/>
      <c r="V16" s="55"/>
      <c r="W16" s="55"/>
      <c r="X16" s="55"/>
      <c r="Y16" s="55"/>
      <c r="Z16" s="55"/>
      <c r="AA16" s="55"/>
      <c r="AB16" s="55"/>
      <c r="AC16" s="55"/>
      <c r="AD16" s="55"/>
      <c r="AE16" s="55"/>
      <c r="AF16" s="55"/>
      <c r="AG16" s="55"/>
      <c r="AH16" s="55"/>
      <c r="AI16" s="55"/>
      <c r="AJ16" s="55"/>
      <c r="AK16" s="55"/>
      <c r="AL16" s="55"/>
      <c r="AM16" s="55"/>
      <c r="AN16" s="55"/>
      <c r="AO16" s="55"/>
      <c r="AP16" s="55"/>
      <c r="AQ16" s="55"/>
      <c r="AR16" s="55"/>
      <c r="AS16" s="24"/>
      <c r="AT16" s="24"/>
      <c r="AU16" s="24"/>
      <c r="AV16" s="24"/>
      <c r="AW16" s="24"/>
      <c r="AX16" s="24"/>
      <c r="AY16" s="24"/>
      <c r="AZ16" s="24"/>
      <c r="BA16" s="24"/>
      <c r="BB16" s="24"/>
      <c r="BC16" s="24"/>
      <c r="BD16" s="24"/>
      <c r="BE16" s="24"/>
      <c r="BF16" s="24"/>
      <c r="BG16" s="24"/>
      <c r="BH16" s="24"/>
      <c r="BI16" s="24"/>
      <c r="BJ16" s="24"/>
    </row>
    <row r="17" spans="1:62" s="4" customFormat="1" ht="21" x14ac:dyDescent="0.35">
      <c r="A17" s="206">
        <v>13</v>
      </c>
      <c r="B17" s="207">
        <f>'Team Database'!A13</f>
        <v>0</v>
      </c>
      <c r="C17" s="208">
        <v>36765</v>
      </c>
      <c r="D17" s="208" t="str">
        <f t="shared" si="0"/>
        <v>The Fire Starters</v>
      </c>
      <c r="E17" s="206">
        <f t="shared" si="1"/>
        <v>0</v>
      </c>
      <c r="F17" s="206">
        <f t="shared" si="2"/>
        <v>0</v>
      </c>
      <c r="G17" s="206">
        <f t="shared" si="3"/>
        <v>0</v>
      </c>
      <c r="H17" s="206">
        <f t="shared" si="4"/>
        <v>0</v>
      </c>
      <c r="I17" s="206">
        <f t="shared" si="5"/>
        <v>0</v>
      </c>
      <c r="J17" s="26">
        <f t="shared" si="6"/>
        <v>0</v>
      </c>
      <c r="K17" s="6">
        <f>'Team Database'!H17</f>
        <v>0</v>
      </c>
      <c r="L17" s="55"/>
      <c r="M17" s="55"/>
      <c r="N17" s="55"/>
      <c r="O17" s="55"/>
      <c r="P17" s="55"/>
      <c r="Q17" s="55"/>
      <c r="R17" s="55"/>
      <c r="S17" s="55"/>
      <c r="T17" s="55"/>
      <c r="U17" s="55"/>
      <c r="V17" s="55"/>
      <c r="W17" s="55"/>
      <c r="X17" s="55"/>
      <c r="Y17" s="55"/>
      <c r="Z17" s="55"/>
      <c r="AA17" s="55"/>
      <c r="AB17" s="55"/>
      <c r="AC17" s="55"/>
      <c r="AD17" s="55"/>
      <c r="AE17" s="55"/>
      <c r="AF17" s="55"/>
      <c r="AG17" s="55"/>
      <c r="AH17" s="55"/>
      <c r="AI17" s="55"/>
      <c r="AJ17" s="55"/>
      <c r="AK17" s="55"/>
      <c r="AL17" s="55"/>
      <c r="AM17" s="55"/>
      <c r="AN17" s="55"/>
      <c r="AO17" s="55"/>
      <c r="AP17" s="55"/>
      <c r="AQ17" s="55"/>
      <c r="AR17" s="55"/>
      <c r="AS17" s="24"/>
      <c r="AT17" s="24"/>
      <c r="AU17" s="24"/>
      <c r="AV17" s="24"/>
      <c r="AW17" s="24"/>
      <c r="AX17" s="24"/>
      <c r="AY17" s="24"/>
      <c r="AZ17" s="24"/>
      <c r="BA17" s="24"/>
      <c r="BB17" s="24"/>
      <c r="BC17" s="24"/>
      <c r="BD17" s="24"/>
      <c r="BE17" s="24"/>
      <c r="BF17" s="24"/>
      <c r="BG17" s="24"/>
      <c r="BH17" s="24"/>
      <c r="BI17" s="24"/>
      <c r="BJ17" s="24"/>
    </row>
    <row r="18" spans="1:62" s="4" customFormat="1" ht="21" x14ac:dyDescent="0.35">
      <c r="A18" s="206">
        <v>14</v>
      </c>
      <c r="B18" s="207">
        <f>'Team Database'!A9</f>
        <v>0</v>
      </c>
      <c r="C18" s="208">
        <v>37642</v>
      </c>
      <c r="D18" s="208" t="str">
        <f t="shared" si="0"/>
        <v>Webber Dragonbots</v>
      </c>
      <c r="E18" s="206">
        <f t="shared" si="1"/>
        <v>0</v>
      </c>
      <c r="F18" s="206">
        <f t="shared" si="2"/>
        <v>0</v>
      </c>
      <c r="G18" s="206">
        <f t="shared" si="3"/>
        <v>0</v>
      </c>
      <c r="H18" s="206">
        <f t="shared" si="4"/>
        <v>0</v>
      </c>
      <c r="I18" s="206">
        <f t="shared" si="5"/>
        <v>0</v>
      </c>
      <c r="J18" s="26">
        <f t="shared" si="6"/>
        <v>0</v>
      </c>
      <c r="K18" s="6">
        <f>'Team Database'!H34</f>
        <v>0</v>
      </c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W18" s="55"/>
      <c r="X18" s="55"/>
      <c r="Y18" s="55"/>
      <c r="Z18" s="55"/>
      <c r="AA18" s="55"/>
      <c r="AB18" s="55"/>
      <c r="AC18" s="55"/>
      <c r="AD18" s="55"/>
      <c r="AE18" s="55"/>
      <c r="AF18" s="55"/>
      <c r="AG18" s="55"/>
      <c r="AH18" s="55"/>
      <c r="AI18" s="55"/>
      <c r="AJ18" s="55"/>
      <c r="AK18" s="55"/>
      <c r="AL18" s="55"/>
      <c r="AM18" s="55"/>
      <c r="AN18" s="55"/>
      <c r="AO18" s="55"/>
      <c r="AP18" s="55"/>
      <c r="AQ18" s="55"/>
      <c r="AR18" s="55"/>
      <c r="AS18" s="24"/>
      <c r="AT18" s="24"/>
      <c r="AU18" s="24"/>
      <c r="AV18" s="24"/>
      <c r="AW18" s="24"/>
      <c r="AX18" s="24"/>
      <c r="AY18" s="24"/>
      <c r="AZ18" s="24"/>
      <c r="BA18" s="24"/>
      <c r="BB18" s="24"/>
      <c r="BC18" s="24"/>
      <c r="BD18" s="24"/>
      <c r="BE18" s="24"/>
      <c r="BF18" s="24"/>
      <c r="BG18" s="24"/>
      <c r="BH18" s="24"/>
      <c r="BI18" s="24"/>
      <c r="BJ18" s="24"/>
    </row>
    <row r="19" spans="1:62" s="4" customFormat="1" ht="21" x14ac:dyDescent="0.35">
      <c r="A19" s="206">
        <v>15</v>
      </c>
      <c r="B19" s="207">
        <f>'Team Database'!A38</f>
        <v>0</v>
      </c>
      <c r="C19" s="208">
        <v>38849</v>
      </c>
      <c r="D19" s="208" t="str">
        <f t="shared" si="0"/>
        <v>Snacks &amp; Gears Engineers</v>
      </c>
      <c r="E19" s="206">
        <f t="shared" si="1"/>
        <v>0</v>
      </c>
      <c r="F19" s="206">
        <f t="shared" si="2"/>
        <v>0</v>
      </c>
      <c r="G19" s="206">
        <f t="shared" si="3"/>
        <v>0</v>
      </c>
      <c r="H19" s="206">
        <f t="shared" si="4"/>
        <v>0</v>
      </c>
      <c r="I19" s="206">
        <f t="shared" si="5"/>
        <v>0</v>
      </c>
      <c r="J19" s="26">
        <f t="shared" si="6"/>
        <v>0</v>
      </c>
      <c r="K19" s="6">
        <f>'Team Database'!H36</f>
        <v>0</v>
      </c>
      <c r="L19" s="55"/>
      <c r="M19" s="55"/>
      <c r="N19" s="55"/>
      <c r="O19" s="55"/>
      <c r="P19" s="55"/>
      <c r="Q19" s="55"/>
      <c r="R19" s="55"/>
      <c r="S19" s="55"/>
      <c r="T19" s="55"/>
      <c r="U19" s="55"/>
      <c r="V19" s="55"/>
      <c r="W19" s="55"/>
      <c r="X19" s="55"/>
      <c r="Y19" s="55"/>
      <c r="Z19" s="55"/>
      <c r="AA19" s="55"/>
      <c r="AB19" s="55"/>
      <c r="AC19" s="55"/>
      <c r="AD19" s="55"/>
      <c r="AE19" s="55"/>
      <c r="AF19" s="55"/>
      <c r="AG19" s="55"/>
      <c r="AH19" s="55"/>
      <c r="AI19" s="55"/>
      <c r="AJ19" s="55"/>
      <c r="AK19" s="55"/>
      <c r="AL19" s="55"/>
      <c r="AM19" s="55"/>
      <c r="AN19" s="55"/>
      <c r="AO19" s="55"/>
      <c r="AP19" s="55"/>
      <c r="AQ19" s="55"/>
      <c r="AR19" s="55"/>
      <c r="AS19" s="24"/>
      <c r="AT19" s="24"/>
      <c r="AU19" s="24"/>
      <c r="AV19" s="24"/>
      <c r="AW19" s="24"/>
      <c r="AX19" s="24"/>
      <c r="AY19" s="24"/>
      <c r="AZ19" s="24"/>
      <c r="BA19" s="24"/>
      <c r="BB19" s="24"/>
      <c r="BC19" s="24"/>
      <c r="BD19" s="24"/>
      <c r="BE19" s="24"/>
      <c r="BF19" s="24"/>
      <c r="BG19" s="24"/>
      <c r="BH19" s="24"/>
      <c r="BI19" s="24"/>
      <c r="BJ19" s="24"/>
    </row>
    <row r="20" spans="1:62" s="4" customFormat="1" ht="21" x14ac:dyDescent="0.35">
      <c r="A20" s="206">
        <v>16</v>
      </c>
      <c r="B20" s="207">
        <f>'Team Database'!A34</f>
        <v>0</v>
      </c>
      <c r="C20" s="208">
        <v>39483</v>
      </c>
      <c r="D20" s="208" t="str">
        <f t="shared" si="0"/>
        <v>The Excavators</v>
      </c>
      <c r="E20" s="206">
        <f t="shared" si="1"/>
        <v>0</v>
      </c>
      <c r="F20" s="206">
        <f t="shared" si="2"/>
        <v>0</v>
      </c>
      <c r="G20" s="206">
        <f t="shared" si="3"/>
        <v>0</v>
      </c>
      <c r="H20" s="206">
        <f t="shared" si="4"/>
        <v>0</v>
      </c>
      <c r="I20" s="206">
        <f t="shared" si="5"/>
        <v>0</v>
      </c>
      <c r="J20" s="26">
        <f t="shared" si="6"/>
        <v>0</v>
      </c>
      <c r="K20" s="6">
        <f>'Team Database'!H13</f>
        <v>0</v>
      </c>
      <c r="L20" s="55"/>
      <c r="M20" s="55"/>
      <c r="N20" s="55"/>
      <c r="O20" s="55"/>
      <c r="P20" s="55"/>
      <c r="Q20" s="55"/>
      <c r="R20" s="55"/>
      <c r="S20" s="55"/>
      <c r="T20" s="55"/>
      <c r="U20" s="55"/>
      <c r="V20" s="55"/>
      <c r="W20" s="55"/>
      <c r="X20" s="55"/>
      <c r="Y20" s="55"/>
      <c r="Z20" s="55"/>
      <c r="AA20" s="55"/>
      <c r="AB20" s="55"/>
      <c r="AC20" s="55"/>
      <c r="AD20" s="55"/>
      <c r="AE20" s="55"/>
      <c r="AF20" s="55"/>
      <c r="AG20" s="55"/>
      <c r="AH20" s="55"/>
      <c r="AI20" s="55"/>
      <c r="AJ20" s="55"/>
      <c r="AK20" s="55"/>
      <c r="AL20" s="55"/>
      <c r="AM20" s="55"/>
      <c r="AN20" s="55"/>
      <c r="AO20" s="55"/>
      <c r="AP20" s="55"/>
      <c r="AQ20" s="55"/>
      <c r="AR20" s="55"/>
      <c r="AS20" s="24"/>
      <c r="AT20" s="24"/>
      <c r="AU20" s="24"/>
      <c r="AV20" s="24"/>
      <c r="AW20" s="24"/>
      <c r="AX20" s="24"/>
      <c r="AY20" s="24"/>
      <c r="AZ20" s="24"/>
      <c r="BA20" s="24"/>
      <c r="BB20" s="24"/>
      <c r="BC20" s="24"/>
      <c r="BD20" s="24"/>
      <c r="BE20" s="24"/>
      <c r="BF20" s="24"/>
      <c r="BG20" s="24"/>
      <c r="BH20" s="24"/>
      <c r="BI20" s="24"/>
      <c r="BJ20" s="24"/>
    </row>
    <row r="21" spans="1:62" s="4" customFormat="1" ht="21" x14ac:dyDescent="0.35">
      <c r="A21" s="206">
        <v>17</v>
      </c>
      <c r="B21" s="207">
        <f>'Team Database'!A18</f>
        <v>0</v>
      </c>
      <c r="C21" s="208">
        <v>39827</v>
      </c>
      <c r="D21" s="208" t="str">
        <f t="shared" si="0"/>
        <v>Stadium Dragons</v>
      </c>
      <c r="E21" s="206">
        <f t="shared" si="1"/>
        <v>0</v>
      </c>
      <c r="F21" s="206">
        <f t="shared" si="2"/>
        <v>0</v>
      </c>
      <c r="G21" s="206">
        <f t="shared" si="3"/>
        <v>0</v>
      </c>
      <c r="H21" s="206">
        <f t="shared" si="4"/>
        <v>0</v>
      </c>
      <c r="I21" s="206">
        <f t="shared" si="5"/>
        <v>0</v>
      </c>
      <c r="J21" s="26">
        <f t="shared" si="6"/>
        <v>0</v>
      </c>
      <c r="K21" s="6" t="e">
        <f>'Team Database'!#REF!</f>
        <v>#REF!</v>
      </c>
      <c r="L21" s="55"/>
      <c r="M21" s="55"/>
      <c r="N21" s="55"/>
      <c r="O21" s="55"/>
      <c r="P21" s="55"/>
      <c r="Q21" s="55"/>
      <c r="R21" s="55"/>
      <c r="S21" s="55"/>
      <c r="T21" s="55"/>
      <c r="U21" s="55"/>
      <c r="V21" s="55"/>
      <c r="W21" s="55"/>
      <c r="X21" s="55"/>
      <c r="Y21" s="55"/>
      <c r="Z21" s="55"/>
      <c r="AA21" s="55"/>
      <c r="AB21" s="55"/>
      <c r="AC21" s="55"/>
      <c r="AD21" s="55"/>
      <c r="AE21" s="55"/>
      <c r="AF21" s="55"/>
      <c r="AG21" s="55"/>
      <c r="AH21" s="55"/>
      <c r="AI21" s="55"/>
      <c r="AJ21" s="55"/>
      <c r="AK21" s="55"/>
      <c r="AL21" s="55"/>
      <c r="AM21" s="55"/>
      <c r="AN21" s="55"/>
      <c r="AO21" s="55"/>
      <c r="AP21" s="55"/>
      <c r="AQ21" s="55"/>
      <c r="AR21" s="55"/>
      <c r="AS21" s="24"/>
      <c r="AT21" s="24"/>
      <c r="AU21" s="24"/>
      <c r="AV21" s="24"/>
      <c r="AW21" s="24"/>
      <c r="AX21" s="24"/>
      <c r="AY21" s="24"/>
      <c r="AZ21" s="24"/>
      <c r="BA21" s="24"/>
      <c r="BB21" s="24"/>
      <c r="BC21" s="24"/>
      <c r="BD21" s="24"/>
      <c r="BE21" s="24"/>
      <c r="BF21" s="24"/>
      <c r="BG21" s="24"/>
      <c r="BH21" s="24"/>
      <c r="BI21" s="24"/>
      <c r="BJ21" s="24"/>
    </row>
    <row r="22" spans="1:62" s="4" customFormat="1" ht="21" x14ac:dyDescent="0.35">
      <c r="A22" s="206">
        <v>18</v>
      </c>
      <c r="B22" s="207">
        <f>'Team Database'!A25</f>
        <v>0</v>
      </c>
      <c r="C22" s="208">
        <v>44281</v>
      </c>
      <c r="D22" s="208" t="str">
        <f t="shared" si="0"/>
        <v>Mini Miners</v>
      </c>
      <c r="E22" s="206">
        <f t="shared" si="1"/>
        <v>0</v>
      </c>
      <c r="F22" s="206">
        <f t="shared" si="2"/>
        <v>0</v>
      </c>
      <c r="G22" s="206">
        <f t="shared" si="3"/>
        <v>0</v>
      </c>
      <c r="H22" s="206">
        <f t="shared" si="4"/>
        <v>0</v>
      </c>
      <c r="I22" s="206">
        <f t="shared" si="5"/>
        <v>0</v>
      </c>
      <c r="J22" s="26">
        <f t="shared" si="6"/>
        <v>0</v>
      </c>
      <c r="K22" s="6">
        <f>'Team Database'!H25</f>
        <v>0</v>
      </c>
      <c r="L22" s="55"/>
      <c r="M22" s="55"/>
      <c r="N22" s="55"/>
      <c r="O22" s="55"/>
      <c r="P22" s="55"/>
      <c r="Q22" s="55"/>
      <c r="R22" s="55"/>
      <c r="S22" s="55"/>
      <c r="T22" s="55"/>
      <c r="U22" s="55"/>
      <c r="V22" s="55"/>
      <c r="W22" s="55"/>
      <c r="X22" s="55"/>
      <c r="Y22" s="55"/>
      <c r="Z22" s="55"/>
      <c r="AA22" s="55"/>
      <c r="AB22" s="55"/>
      <c r="AC22" s="55"/>
      <c r="AD22" s="55"/>
      <c r="AE22" s="55"/>
      <c r="AF22" s="55"/>
      <c r="AG22" s="55"/>
      <c r="AH22" s="55"/>
      <c r="AI22" s="55"/>
      <c r="AJ22" s="55"/>
      <c r="AK22" s="55"/>
      <c r="AL22" s="55"/>
      <c r="AM22" s="55"/>
      <c r="AN22" s="55"/>
      <c r="AO22" s="55"/>
      <c r="AP22" s="55"/>
      <c r="AQ22" s="55"/>
      <c r="AR22" s="55"/>
      <c r="AS22" s="24"/>
      <c r="AT22" s="24"/>
      <c r="AU22" s="24"/>
      <c r="AV22" s="24"/>
      <c r="AW22" s="24"/>
      <c r="AX22" s="24"/>
      <c r="AY22" s="24"/>
      <c r="AZ22" s="24"/>
      <c r="BA22" s="24"/>
      <c r="BB22" s="24"/>
      <c r="BC22" s="24"/>
      <c r="BD22" s="24"/>
      <c r="BE22" s="24"/>
      <c r="BF22" s="24"/>
      <c r="BG22" s="24"/>
      <c r="BH22" s="24"/>
      <c r="BI22" s="24"/>
      <c r="BJ22" s="24"/>
    </row>
    <row r="23" spans="1:62" s="4" customFormat="1" ht="21" x14ac:dyDescent="0.35">
      <c r="A23" s="206">
        <v>19</v>
      </c>
      <c r="B23" s="207">
        <f>'Team Database'!A14</f>
        <v>0</v>
      </c>
      <c r="C23" s="208">
        <v>44289</v>
      </c>
      <c r="D23" s="208" t="str">
        <f t="shared" si="0"/>
        <v>Robo Huskies</v>
      </c>
      <c r="E23" s="206">
        <f t="shared" si="1"/>
        <v>0</v>
      </c>
      <c r="F23" s="206">
        <f t="shared" si="2"/>
        <v>0</v>
      </c>
      <c r="G23" s="206">
        <f t="shared" si="3"/>
        <v>0</v>
      </c>
      <c r="H23" s="206">
        <f t="shared" si="4"/>
        <v>0</v>
      </c>
      <c r="I23" s="206">
        <f t="shared" si="5"/>
        <v>0</v>
      </c>
      <c r="J23" s="26">
        <f t="shared" si="6"/>
        <v>0</v>
      </c>
      <c r="K23" s="6">
        <f>'Team Database'!H39</f>
        <v>0</v>
      </c>
      <c r="L23" s="55"/>
      <c r="M23" s="55"/>
      <c r="N23" s="55"/>
      <c r="O23" s="55"/>
      <c r="P23" s="55"/>
      <c r="Q23" s="55"/>
      <c r="R23" s="55"/>
      <c r="S23" s="55"/>
      <c r="T23" s="55"/>
      <c r="U23" s="55"/>
      <c r="V23" s="55"/>
      <c r="W23" s="55"/>
      <c r="X23" s="55"/>
      <c r="Y23" s="55"/>
      <c r="Z23" s="55"/>
      <c r="AA23" s="55"/>
      <c r="AB23" s="55"/>
      <c r="AC23" s="55"/>
      <c r="AD23" s="55"/>
      <c r="AE23" s="55"/>
      <c r="AF23" s="55"/>
      <c r="AG23" s="55"/>
      <c r="AH23" s="55"/>
      <c r="AI23" s="55"/>
      <c r="AJ23" s="55"/>
      <c r="AK23" s="55"/>
      <c r="AL23" s="55"/>
      <c r="AM23" s="55"/>
      <c r="AN23" s="55"/>
      <c r="AO23" s="55"/>
      <c r="AP23" s="55"/>
      <c r="AQ23" s="55"/>
      <c r="AR23" s="55"/>
      <c r="AS23" s="24"/>
      <c r="AT23" s="24"/>
      <c r="AU23" s="24"/>
      <c r="AV23" s="24"/>
      <c r="AW23" s="24"/>
      <c r="AX23" s="24"/>
      <c r="AY23" s="24"/>
      <c r="AZ23" s="24"/>
      <c r="BA23" s="24"/>
      <c r="BB23" s="24"/>
      <c r="BC23" s="24"/>
      <c r="BD23" s="24"/>
      <c r="BE23" s="24"/>
      <c r="BF23" s="24"/>
      <c r="BG23" s="24"/>
      <c r="BH23" s="24"/>
      <c r="BI23" s="24"/>
      <c r="BJ23" s="24"/>
    </row>
    <row r="24" spans="1:62" s="4" customFormat="1" ht="21" x14ac:dyDescent="0.35">
      <c r="A24" s="206">
        <v>20</v>
      </c>
      <c r="B24" s="207">
        <f>'Team Database'!A29</f>
        <v>0</v>
      </c>
      <c r="C24" s="208">
        <v>44628</v>
      </c>
      <c r="D24" s="208" t="str">
        <f t="shared" si="0"/>
        <v>Cyber Sims</v>
      </c>
      <c r="E24" s="206">
        <f t="shared" si="1"/>
        <v>0</v>
      </c>
      <c r="F24" s="206">
        <f t="shared" si="2"/>
        <v>0</v>
      </c>
      <c r="G24" s="206">
        <f t="shared" si="3"/>
        <v>0</v>
      </c>
      <c r="H24" s="206">
        <f t="shared" si="4"/>
        <v>0</v>
      </c>
      <c r="I24" s="206">
        <f t="shared" si="5"/>
        <v>0</v>
      </c>
      <c r="J24" s="26">
        <f t="shared" si="6"/>
        <v>0</v>
      </c>
      <c r="K24" s="6">
        <f>'Team Database'!H30</f>
        <v>0</v>
      </c>
      <c r="L24" s="55"/>
      <c r="M24" s="55"/>
      <c r="N24" s="55"/>
      <c r="O24" s="55"/>
      <c r="P24" s="55"/>
      <c r="Q24" s="55"/>
      <c r="R24" s="55"/>
      <c r="S24" s="55"/>
      <c r="T24" s="55"/>
      <c r="U24" s="55"/>
      <c r="V24" s="55"/>
      <c r="W24" s="55"/>
      <c r="X24" s="55"/>
      <c r="Y24" s="55"/>
      <c r="Z24" s="55"/>
      <c r="AA24" s="55"/>
      <c r="AB24" s="55"/>
      <c r="AC24" s="55"/>
      <c r="AD24" s="55"/>
      <c r="AE24" s="55"/>
      <c r="AF24" s="55"/>
      <c r="AG24" s="55"/>
      <c r="AH24" s="55"/>
      <c r="AI24" s="55"/>
      <c r="AJ24" s="55"/>
      <c r="AK24" s="55"/>
      <c r="AL24" s="55"/>
      <c r="AM24" s="55"/>
      <c r="AN24" s="55"/>
      <c r="AO24" s="55"/>
      <c r="AP24" s="55"/>
      <c r="AQ24" s="55"/>
      <c r="AR24" s="55"/>
      <c r="AS24" s="24"/>
      <c r="AT24" s="24"/>
      <c r="AU24" s="24"/>
      <c r="AV24" s="24"/>
      <c r="AW24" s="24"/>
      <c r="AX24" s="24"/>
      <c r="AY24" s="24"/>
      <c r="AZ24" s="24"/>
      <c r="BA24" s="24"/>
      <c r="BB24" s="24"/>
      <c r="BC24" s="24"/>
      <c r="BD24" s="24"/>
      <c r="BE24" s="24"/>
      <c r="BF24" s="24"/>
      <c r="BG24" s="24"/>
      <c r="BH24" s="24"/>
      <c r="BI24" s="24"/>
      <c r="BJ24" s="24"/>
    </row>
    <row r="25" spans="1:62" s="4" customFormat="1" ht="21" x14ac:dyDescent="0.35">
      <c r="A25" s="206">
        <v>21</v>
      </c>
      <c r="B25" s="207" t="e">
        <f>'Team Database'!#REF!</f>
        <v>#REF!</v>
      </c>
      <c r="C25" s="208">
        <v>44820</v>
      </c>
      <c r="D25" s="208" t="str">
        <f t="shared" si="0"/>
        <v>Evil Croutons</v>
      </c>
      <c r="E25" s="206">
        <f t="shared" si="1"/>
        <v>0</v>
      </c>
      <c r="F25" s="206">
        <f t="shared" si="2"/>
        <v>0</v>
      </c>
      <c r="G25" s="206">
        <f t="shared" si="3"/>
        <v>0</v>
      </c>
      <c r="H25" s="206">
        <f t="shared" si="4"/>
        <v>0</v>
      </c>
      <c r="I25" s="206">
        <f t="shared" si="5"/>
        <v>0</v>
      </c>
      <c r="J25" s="26">
        <f t="shared" si="6"/>
        <v>0</v>
      </c>
      <c r="K25" s="6">
        <f>'Team Database'!H37</f>
        <v>0</v>
      </c>
      <c r="L25" s="55"/>
      <c r="M25" s="55"/>
      <c r="N25" s="55"/>
      <c r="O25" s="55"/>
      <c r="P25" s="55"/>
      <c r="Q25" s="55"/>
      <c r="R25" s="55"/>
      <c r="S25" s="55"/>
      <c r="T25" s="55"/>
      <c r="U25" s="55"/>
      <c r="V25" s="55"/>
      <c r="W25" s="55"/>
      <c r="X25" s="55"/>
      <c r="Y25" s="55"/>
      <c r="Z25" s="55"/>
      <c r="AA25" s="55"/>
      <c r="AB25" s="55"/>
      <c r="AC25" s="55"/>
      <c r="AD25" s="55"/>
      <c r="AE25" s="55"/>
      <c r="AF25" s="55"/>
      <c r="AG25" s="55"/>
      <c r="AH25" s="55"/>
      <c r="AI25" s="55"/>
      <c r="AJ25" s="55"/>
      <c r="AK25" s="55"/>
      <c r="AL25" s="55"/>
      <c r="AM25" s="55"/>
      <c r="AN25" s="55"/>
      <c r="AO25" s="55"/>
      <c r="AP25" s="55"/>
      <c r="AQ25" s="55"/>
      <c r="AR25" s="55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4"/>
      <c r="BJ25" s="24"/>
    </row>
    <row r="26" spans="1:62" s="4" customFormat="1" ht="21" x14ac:dyDescent="0.35">
      <c r="A26" s="206">
        <v>22</v>
      </c>
      <c r="B26" s="207">
        <f>'Team Database'!A12</f>
        <v>0</v>
      </c>
      <c r="C26" s="208">
        <v>52027</v>
      </c>
      <c r="D26" s="208" t="str">
        <f t="shared" si="0"/>
        <v>Everest 3</v>
      </c>
      <c r="E26" s="206">
        <f t="shared" si="1"/>
        <v>0</v>
      </c>
      <c r="F26" s="206">
        <f t="shared" si="2"/>
        <v>0</v>
      </c>
      <c r="G26" s="206">
        <f t="shared" si="3"/>
        <v>0</v>
      </c>
      <c r="H26" s="206">
        <f t="shared" si="4"/>
        <v>0</v>
      </c>
      <c r="I26" s="206">
        <f t="shared" si="5"/>
        <v>0</v>
      </c>
      <c r="J26" s="26">
        <f t="shared" si="6"/>
        <v>0</v>
      </c>
      <c r="K26" s="6">
        <f>'Team Database'!H16</f>
        <v>0</v>
      </c>
      <c r="L26" s="55"/>
      <c r="M26" s="55"/>
      <c r="N26" s="55"/>
      <c r="O26" s="55"/>
      <c r="P26" s="55"/>
      <c r="Q26" s="55"/>
      <c r="R26" s="55"/>
      <c r="S26" s="55"/>
      <c r="T26" s="55"/>
      <c r="U26" s="55"/>
      <c r="V26" s="55"/>
      <c r="W26" s="55"/>
      <c r="X26" s="55"/>
      <c r="Y26" s="55"/>
      <c r="Z26" s="55"/>
      <c r="AA26" s="55"/>
      <c r="AB26" s="55"/>
      <c r="AC26" s="55"/>
      <c r="AD26" s="55"/>
      <c r="AE26" s="55"/>
      <c r="AF26" s="55"/>
      <c r="AG26" s="55"/>
      <c r="AH26" s="55"/>
      <c r="AI26" s="55"/>
      <c r="AJ26" s="55"/>
      <c r="AK26" s="55"/>
      <c r="AL26" s="55"/>
      <c r="AM26" s="55"/>
      <c r="AN26" s="55"/>
      <c r="AO26" s="55"/>
      <c r="AP26" s="55"/>
      <c r="AQ26" s="55"/>
      <c r="AR26" s="55"/>
      <c r="AS26" s="24"/>
      <c r="AT26" s="24"/>
      <c r="AU26" s="24"/>
      <c r="AV26" s="24"/>
      <c r="AW26" s="24"/>
      <c r="AX26" s="24"/>
      <c r="AY26" s="24"/>
      <c r="AZ26" s="24"/>
      <c r="BA26" s="24"/>
      <c r="BB26" s="24"/>
      <c r="BC26" s="24"/>
      <c r="BD26" s="24"/>
      <c r="BE26" s="24"/>
      <c r="BF26" s="24"/>
      <c r="BG26" s="24"/>
      <c r="BH26" s="24"/>
      <c r="BI26" s="24"/>
      <c r="BJ26" s="24"/>
    </row>
    <row r="27" spans="1:62" s="4" customFormat="1" ht="21" x14ac:dyDescent="0.35">
      <c r="A27" s="206">
        <v>23</v>
      </c>
      <c r="B27" s="207">
        <f>'Team Database'!A10</f>
        <v>0</v>
      </c>
      <c r="C27" s="208">
        <v>52205</v>
      </c>
      <c r="D27" s="208" t="str">
        <f t="shared" si="0"/>
        <v>DEEP FRIED EAGLES</v>
      </c>
      <c r="E27" s="206">
        <f t="shared" si="1"/>
        <v>0</v>
      </c>
      <c r="F27" s="206">
        <f t="shared" si="2"/>
        <v>0</v>
      </c>
      <c r="G27" s="206">
        <f t="shared" si="3"/>
        <v>0</v>
      </c>
      <c r="H27" s="206">
        <f t="shared" si="4"/>
        <v>0</v>
      </c>
      <c r="I27" s="206">
        <f t="shared" si="5"/>
        <v>0</v>
      </c>
      <c r="J27" s="26">
        <f t="shared" si="6"/>
        <v>0</v>
      </c>
      <c r="K27" s="6">
        <f>'Team Database'!H31</f>
        <v>0</v>
      </c>
      <c r="L27" s="55"/>
      <c r="M27" s="55"/>
      <c r="N27" s="55"/>
      <c r="O27" s="55"/>
      <c r="P27" s="55"/>
      <c r="Q27" s="55"/>
      <c r="R27" s="55"/>
      <c r="S27" s="55"/>
      <c r="T27" s="55"/>
      <c r="U27" s="55"/>
      <c r="V27" s="55"/>
      <c r="W27" s="55"/>
      <c r="X27" s="55"/>
      <c r="Y27" s="55"/>
      <c r="Z27" s="55"/>
      <c r="AA27" s="55"/>
      <c r="AB27" s="55"/>
      <c r="AC27" s="55"/>
      <c r="AD27" s="55"/>
      <c r="AE27" s="55"/>
      <c r="AF27" s="55"/>
      <c r="AG27" s="55"/>
      <c r="AH27" s="55"/>
      <c r="AI27" s="55"/>
      <c r="AJ27" s="55"/>
      <c r="AK27" s="55"/>
      <c r="AL27" s="55"/>
      <c r="AM27" s="55"/>
      <c r="AN27" s="55"/>
      <c r="AO27" s="55"/>
      <c r="AP27" s="55"/>
      <c r="AQ27" s="55"/>
      <c r="AR27" s="55"/>
      <c r="AS27" s="24"/>
      <c r="AT27" s="24"/>
      <c r="AU27" s="24"/>
      <c r="AV27" s="24"/>
      <c r="AW27" s="24"/>
      <c r="AX27" s="24"/>
      <c r="AY27" s="24"/>
      <c r="AZ27" s="24"/>
      <c r="BA27" s="24"/>
      <c r="BB27" s="24"/>
      <c r="BC27" s="24"/>
      <c r="BD27" s="24"/>
      <c r="BE27" s="24"/>
      <c r="BF27" s="24"/>
      <c r="BG27" s="24"/>
      <c r="BH27" s="24"/>
      <c r="BI27" s="24"/>
      <c r="BJ27" s="24"/>
    </row>
    <row r="28" spans="1:62" s="4" customFormat="1" ht="21" x14ac:dyDescent="0.35">
      <c r="A28" s="206">
        <v>24</v>
      </c>
      <c r="B28" s="207">
        <f>'Team Database'!A37</f>
        <v>0</v>
      </c>
      <c r="C28" s="208">
        <v>52358</v>
      </c>
      <c r="D28" s="208" t="str">
        <f t="shared" si="0"/>
        <v>Binary Bananas</v>
      </c>
      <c r="E28" s="206">
        <f t="shared" si="1"/>
        <v>0</v>
      </c>
      <c r="F28" s="206">
        <f t="shared" si="2"/>
        <v>0</v>
      </c>
      <c r="G28" s="206">
        <f t="shared" si="3"/>
        <v>0</v>
      </c>
      <c r="H28" s="206">
        <f t="shared" si="4"/>
        <v>0</v>
      </c>
      <c r="I28" s="206">
        <f t="shared" si="5"/>
        <v>0</v>
      </c>
      <c r="J28" s="26">
        <f t="shared" si="6"/>
        <v>0</v>
      </c>
      <c r="K28" s="6">
        <f>'Team Database'!H26</f>
        <v>0</v>
      </c>
      <c r="L28" s="55"/>
      <c r="M28" s="55"/>
      <c r="N28" s="55"/>
      <c r="O28" s="55"/>
      <c r="P28" s="55"/>
      <c r="Q28" s="55"/>
      <c r="R28" s="55"/>
      <c r="S28" s="55"/>
      <c r="T28" s="55"/>
      <c r="U28" s="55"/>
      <c r="V28" s="55"/>
      <c r="W28" s="55"/>
      <c r="X28" s="55"/>
      <c r="Y28" s="55"/>
      <c r="Z28" s="55"/>
      <c r="AA28" s="55"/>
      <c r="AB28" s="55"/>
      <c r="AC28" s="55"/>
      <c r="AD28" s="55"/>
      <c r="AE28" s="55"/>
      <c r="AF28" s="55"/>
      <c r="AG28" s="55"/>
      <c r="AH28" s="55"/>
      <c r="AI28" s="55"/>
      <c r="AJ28" s="55"/>
      <c r="AK28" s="55"/>
      <c r="AL28" s="55"/>
      <c r="AM28" s="55"/>
      <c r="AN28" s="55"/>
      <c r="AO28" s="55"/>
      <c r="AP28" s="55"/>
      <c r="AQ28" s="55"/>
      <c r="AR28" s="55"/>
      <c r="AS28" s="24"/>
      <c r="AT28" s="24"/>
      <c r="AU28" s="24"/>
      <c r="AV28" s="24"/>
      <c r="AW28" s="24"/>
      <c r="AX28" s="24"/>
      <c r="AY28" s="24"/>
      <c r="AZ28" s="24"/>
      <c r="BA28" s="24"/>
      <c r="BB28" s="24"/>
      <c r="BC28" s="24"/>
      <c r="BD28" s="24"/>
      <c r="BE28" s="24"/>
      <c r="BF28" s="24"/>
      <c r="BG28" s="24"/>
      <c r="BH28" s="24"/>
      <c r="BI28" s="24"/>
      <c r="BJ28" s="24"/>
    </row>
    <row r="29" spans="1:62" s="4" customFormat="1" ht="21" x14ac:dyDescent="0.35">
      <c r="A29" s="206">
        <v>25</v>
      </c>
      <c r="B29" s="207">
        <f>'Team Database'!A35</f>
        <v>0</v>
      </c>
      <c r="C29" s="208">
        <v>52760</v>
      </c>
      <c r="D29" s="208" t="str">
        <f t="shared" si="0"/>
        <v>Maverick Mechanics</v>
      </c>
      <c r="E29" s="206">
        <f t="shared" si="1"/>
        <v>0</v>
      </c>
      <c r="F29" s="206">
        <f t="shared" si="2"/>
        <v>0</v>
      </c>
      <c r="G29" s="206">
        <f t="shared" si="3"/>
        <v>0</v>
      </c>
      <c r="H29" s="206">
        <f t="shared" si="4"/>
        <v>0</v>
      </c>
      <c r="I29" s="206">
        <f t="shared" si="5"/>
        <v>0</v>
      </c>
      <c r="J29" s="26">
        <f t="shared" si="6"/>
        <v>0</v>
      </c>
      <c r="K29" s="6">
        <f>'Team Database'!H32</f>
        <v>0</v>
      </c>
      <c r="L29" s="55"/>
      <c r="M29" s="55"/>
      <c r="N29" s="55"/>
      <c r="O29" s="55"/>
      <c r="P29" s="55"/>
      <c r="Q29" s="55"/>
      <c r="R29" s="55"/>
      <c r="S29" s="55"/>
      <c r="T29" s="55"/>
      <c r="U29" s="55"/>
      <c r="V29" s="55"/>
      <c r="W29" s="55"/>
      <c r="X29" s="55"/>
      <c r="Y29" s="55"/>
      <c r="Z29" s="55"/>
      <c r="AA29" s="55"/>
      <c r="AB29" s="55"/>
      <c r="AC29" s="55"/>
      <c r="AD29" s="55"/>
      <c r="AE29" s="55"/>
      <c r="AF29" s="55"/>
      <c r="AG29" s="55"/>
      <c r="AH29" s="55"/>
      <c r="AI29" s="55"/>
      <c r="AJ29" s="55"/>
      <c r="AK29" s="55"/>
      <c r="AL29" s="55"/>
      <c r="AM29" s="55"/>
      <c r="AN29" s="55"/>
      <c r="AO29" s="55"/>
      <c r="AP29" s="55"/>
      <c r="AQ29" s="55"/>
      <c r="AR29" s="55"/>
      <c r="AS29" s="24"/>
      <c r="AT29" s="24"/>
      <c r="AU29" s="24"/>
      <c r="AV29" s="24"/>
      <c r="AW29" s="24"/>
      <c r="AX29" s="24"/>
      <c r="AY29" s="24"/>
      <c r="AZ29" s="24"/>
      <c r="BA29" s="24"/>
      <c r="BB29" s="24"/>
      <c r="BC29" s="24"/>
      <c r="BD29" s="24"/>
      <c r="BE29" s="24"/>
      <c r="BF29" s="24"/>
      <c r="BG29" s="24"/>
      <c r="BH29" s="24"/>
      <c r="BI29" s="24"/>
      <c r="BJ29" s="24"/>
    </row>
    <row r="30" spans="1:62" s="4" customFormat="1" ht="21" x14ac:dyDescent="0.35">
      <c r="A30" s="206">
        <v>26</v>
      </c>
      <c r="B30" s="207">
        <f>'Team Database'!A26</f>
        <v>0</v>
      </c>
      <c r="C30" s="208">
        <v>53488</v>
      </c>
      <c r="D30" s="208" t="str">
        <f t="shared" si="0"/>
        <v>Blown Fuses LL1</v>
      </c>
      <c r="E30" s="206">
        <f t="shared" si="1"/>
        <v>0</v>
      </c>
      <c r="F30" s="206">
        <f t="shared" si="2"/>
        <v>0</v>
      </c>
      <c r="G30" s="206">
        <f t="shared" si="3"/>
        <v>0</v>
      </c>
      <c r="H30" s="206">
        <f t="shared" si="4"/>
        <v>0</v>
      </c>
      <c r="I30" s="206">
        <f t="shared" si="5"/>
        <v>0</v>
      </c>
      <c r="J30" s="26">
        <f t="shared" si="6"/>
        <v>0</v>
      </c>
      <c r="K30" s="6">
        <f>'Team Database'!H9</f>
        <v>50</v>
      </c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  <c r="W30" s="55"/>
      <c r="X30" s="55"/>
      <c r="Y30" s="55"/>
      <c r="Z30" s="55"/>
      <c r="AA30" s="55"/>
      <c r="AB30" s="55"/>
      <c r="AC30" s="55"/>
      <c r="AD30" s="55"/>
      <c r="AE30" s="55"/>
      <c r="AF30" s="55"/>
      <c r="AG30" s="55"/>
      <c r="AH30" s="55"/>
      <c r="AI30" s="55"/>
      <c r="AJ30" s="55"/>
      <c r="AK30" s="55"/>
      <c r="AL30" s="55"/>
      <c r="AM30" s="55"/>
      <c r="AN30" s="55"/>
      <c r="AO30" s="55"/>
      <c r="AP30" s="55"/>
      <c r="AQ30" s="55"/>
      <c r="AR30" s="55"/>
      <c r="AS30" s="24"/>
      <c r="AT30" s="24"/>
      <c r="AU30" s="24"/>
      <c r="AV30" s="24"/>
      <c r="AW30" s="24"/>
      <c r="AX30" s="24"/>
      <c r="AY30" s="24"/>
      <c r="AZ30" s="24"/>
      <c r="BA30" s="24"/>
      <c r="BB30" s="24"/>
      <c r="BC30" s="24"/>
      <c r="BD30" s="24"/>
      <c r="BE30" s="24"/>
      <c r="BF30" s="24"/>
      <c r="BG30" s="24"/>
      <c r="BH30" s="24"/>
      <c r="BI30" s="24"/>
      <c r="BJ30" s="24"/>
    </row>
    <row r="31" spans="1:62" s="4" customFormat="1" ht="21" x14ac:dyDescent="0.35">
      <c r="A31" s="206">
        <v>27</v>
      </c>
      <c r="B31" s="207">
        <f>'Team Database'!A15</f>
        <v>0</v>
      </c>
      <c r="C31" s="208">
        <v>53947</v>
      </c>
      <c r="D31" s="208" t="str">
        <f t="shared" si="0"/>
        <v>Huron Academy Huskies</v>
      </c>
      <c r="E31" s="206">
        <f t="shared" si="1"/>
        <v>0</v>
      </c>
      <c r="F31" s="206">
        <f t="shared" si="2"/>
        <v>0</v>
      </c>
      <c r="G31" s="206">
        <f t="shared" si="3"/>
        <v>0</v>
      </c>
      <c r="H31" s="206">
        <f t="shared" si="4"/>
        <v>0</v>
      </c>
      <c r="I31" s="206">
        <f t="shared" si="5"/>
        <v>0</v>
      </c>
      <c r="J31" s="26">
        <f t="shared" si="6"/>
        <v>0</v>
      </c>
      <c r="K31" s="6">
        <f>'Team Database'!H28</f>
        <v>0</v>
      </c>
      <c r="L31" s="55"/>
      <c r="M31" s="55"/>
      <c r="N31" s="55"/>
      <c r="O31" s="55"/>
      <c r="P31" s="55"/>
      <c r="Q31" s="55"/>
      <c r="R31" s="55"/>
      <c r="S31" s="55"/>
      <c r="T31" s="55"/>
      <c r="U31" s="55"/>
      <c r="V31" s="55"/>
      <c r="W31" s="55"/>
      <c r="X31" s="55"/>
      <c r="Y31" s="55"/>
      <c r="Z31" s="55"/>
      <c r="AA31" s="55"/>
      <c r="AB31" s="55"/>
      <c r="AC31" s="55"/>
      <c r="AD31" s="55"/>
      <c r="AE31" s="55"/>
      <c r="AF31" s="55"/>
      <c r="AG31" s="55"/>
      <c r="AH31" s="55"/>
      <c r="AI31" s="55"/>
      <c r="AJ31" s="55"/>
      <c r="AK31" s="55"/>
      <c r="AL31" s="55"/>
      <c r="AM31" s="55"/>
      <c r="AN31" s="55"/>
      <c r="AO31" s="55"/>
      <c r="AP31" s="55"/>
      <c r="AQ31" s="55"/>
      <c r="AR31" s="55"/>
      <c r="AS31" s="24"/>
      <c r="AT31" s="24"/>
      <c r="AU31" s="24"/>
      <c r="AV31" s="24"/>
      <c r="AW31" s="24"/>
      <c r="AX31" s="24"/>
      <c r="AY31" s="24"/>
      <c r="AZ31" s="24"/>
      <c r="BA31" s="24"/>
      <c r="BB31" s="24"/>
      <c r="BC31" s="24"/>
      <c r="BD31" s="24"/>
      <c r="BE31" s="24"/>
      <c r="BF31" s="24"/>
      <c r="BG31" s="24"/>
      <c r="BH31" s="24"/>
      <c r="BI31" s="24"/>
      <c r="BJ31" s="24"/>
    </row>
    <row r="32" spans="1:62" s="4" customFormat="1" ht="21" x14ac:dyDescent="0.35">
      <c r="A32" s="206">
        <v>28</v>
      </c>
      <c r="B32" s="207">
        <f>'Team Database'!A24</f>
        <v>0</v>
      </c>
      <c r="C32" s="208">
        <v>54046</v>
      </c>
      <c r="D32" s="208" t="str">
        <f t="shared" si="0"/>
        <v>Robo Huskies</v>
      </c>
      <c r="E32" s="206">
        <f t="shared" si="1"/>
        <v>0</v>
      </c>
      <c r="F32" s="206">
        <f t="shared" si="2"/>
        <v>0</v>
      </c>
      <c r="G32" s="206">
        <f t="shared" si="3"/>
        <v>0</v>
      </c>
      <c r="H32" s="206">
        <f t="shared" si="4"/>
        <v>0</v>
      </c>
      <c r="I32" s="206">
        <f t="shared" si="5"/>
        <v>0</v>
      </c>
      <c r="J32" s="26">
        <f t="shared" si="6"/>
        <v>0</v>
      </c>
      <c r="K32" s="6">
        <f>'Team Database'!H12</f>
        <v>0</v>
      </c>
      <c r="L32" s="55"/>
      <c r="M32" s="55"/>
      <c r="N32" s="55"/>
      <c r="O32" s="55"/>
      <c r="P32" s="55"/>
      <c r="Q32" s="55"/>
      <c r="R32" s="55"/>
      <c r="S32" s="55"/>
      <c r="T32" s="55"/>
      <c r="U32" s="55"/>
      <c r="V32" s="55"/>
      <c r="W32" s="55"/>
      <c r="X32" s="55"/>
      <c r="Y32" s="55"/>
      <c r="Z32" s="55"/>
      <c r="AA32" s="55"/>
      <c r="AB32" s="55"/>
      <c r="AC32" s="55"/>
      <c r="AD32" s="55"/>
      <c r="AE32" s="55"/>
      <c r="AF32" s="55"/>
      <c r="AG32" s="55"/>
      <c r="AH32" s="55"/>
      <c r="AI32" s="55"/>
      <c r="AJ32" s="55"/>
      <c r="AK32" s="55"/>
      <c r="AL32" s="55"/>
      <c r="AM32" s="55"/>
      <c r="AN32" s="55"/>
      <c r="AO32" s="55"/>
      <c r="AP32" s="55"/>
      <c r="AQ32" s="55"/>
      <c r="AR32" s="55"/>
      <c r="AS32" s="24"/>
      <c r="AT32" s="24"/>
      <c r="AU32" s="24"/>
      <c r="AV32" s="24"/>
      <c r="AW32" s="24"/>
      <c r="AX32" s="24"/>
      <c r="AY32" s="24"/>
      <c r="AZ32" s="24"/>
      <c r="BA32" s="24"/>
      <c r="BB32" s="24"/>
      <c r="BC32" s="24"/>
      <c r="BD32" s="24"/>
      <c r="BE32" s="24"/>
      <c r="BF32" s="24"/>
      <c r="BG32" s="24"/>
      <c r="BH32" s="24"/>
      <c r="BI32" s="24"/>
      <c r="BJ32" s="24"/>
    </row>
    <row r="33" spans="1:62" s="4" customFormat="1" ht="21" x14ac:dyDescent="0.35">
      <c r="A33" s="206">
        <v>29</v>
      </c>
      <c r="B33" s="207">
        <f>'Team Database'!A22</f>
        <v>0</v>
      </c>
      <c r="C33" s="208">
        <v>54155</v>
      </c>
      <c r="D33" s="208" t="str">
        <f t="shared" si="0"/>
        <v>Robo-Warriors 5</v>
      </c>
      <c r="E33" s="206">
        <f t="shared" si="1"/>
        <v>0</v>
      </c>
      <c r="F33" s="206">
        <f t="shared" si="2"/>
        <v>0</v>
      </c>
      <c r="G33" s="206">
        <f t="shared" si="3"/>
        <v>0</v>
      </c>
      <c r="H33" s="206">
        <f t="shared" si="4"/>
        <v>0</v>
      </c>
      <c r="I33" s="206">
        <f t="shared" si="5"/>
        <v>0</v>
      </c>
      <c r="J33" s="26">
        <f t="shared" si="6"/>
        <v>0</v>
      </c>
      <c r="K33" s="6">
        <f>'Team Database'!H19</f>
        <v>0</v>
      </c>
      <c r="L33" s="55"/>
      <c r="M33" s="55"/>
      <c r="N33" s="55"/>
      <c r="O33" s="55"/>
      <c r="P33" s="55"/>
      <c r="Q33" s="55"/>
      <c r="R33" s="55"/>
      <c r="S33" s="55"/>
      <c r="T33" s="55"/>
      <c r="U33" s="55"/>
      <c r="V33" s="55"/>
      <c r="W33" s="55"/>
      <c r="X33" s="55"/>
      <c r="Y33" s="55"/>
      <c r="Z33" s="55"/>
      <c r="AA33" s="55"/>
      <c r="AB33" s="55"/>
      <c r="AC33" s="55"/>
      <c r="AD33" s="55"/>
      <c r="AE33" s="55"/>
      <c r="AF33" s="55"/>
      <c r="AG33" s="55"/>
      <c r="AH33" s="55"/>
      <c r="AI33" s="55"/>
      <c r="AJ33" s="55"/>
      <c r="AK33" s="55"/>
      <c r="AL33" s="55"/>
      <c r="AM33" s="55"/>
      <c r="AN33" s="55"/>
      <c r="AO33" s="55"/>
      <c r="AP33" s="55"/>
      <c r="AQ33" s="55"/>
      <c r="AR33" s="55"/>
      <c r="AS33" s="24"/>
      <c r="AT33" s="24"/>
      <c r="AU33" s="24"/>
      <c r="AV33" s="24"/>
      <c r="AW33" s="24"/>
      <c r="AX33" s="24"/>
      <c r="AY33" s="24"/>
      <c r="AZ33" s="24"/>
      <c r="BA33" s="24"/>
      <c r="BB33" s="24"/>
      <c r="BC33" s="24"/>
      <c r="BD33" s="24"/>
      <c r="BE33" s="24"/>
      <c r="BF33" s="24"/>
      <c r="BG33" s="24"/>
      <c r="BH33" s="24"/>
      <c r="BI33" s="24"/>
      <c r="BJ33" s="24"/>
    </row>
    <row r="34" spans="1:62" s="4" customFormat="1" ht="21" x14ac:dyDescent="0.35">
      <c r="A34" s="206">
        <v>30</v>
      </c>
      <c r="B34" s="207">
        <f>'Team Database'!A11</f>
        <v>0</v>
      </c>
      <c r="C34" s="208">
        <v>54284</v>
      </c>
      <c r="D34" s="208" t="str">
        <f t="shared" si="0"/>
        <v>Blown Fuses LL2</v>
      </c>
      <c r="E34" s="206">
        <f t="shared" si="1"/>
        <v>0</v>
      </c>
      <c r="F34" s="206">
        <f t="shared" si="2"/>
        <v>0</v>
      </c>
      <c r="G34" s="206">
        <f t="shared" si="3"/>
        <v>0</v>
      </c>
      <c r="H34" s="206">
        <f t="shared" si="4"/>
        <v>0</v>
      </c>
      <c r="I34" s="206">
        <f t="shared" si="5"/>
        <v>0</v>
      </c>
      <c r="J34" s="26">
        <f t="shared" si="6"/>
        <v>0</v>
      </c>
      <c r="K34" s="6">
        <f>'Team Database'!H22</f>
        <v>0</v>
      </c>
      <c r="L34" s="55"/>
      <c r="M34" s="55"/>
      <c r="N34" s="55"/>
      <c r="O34" s="55"/>
      <c r="P34" s="55"/>
      <c r="Q34" s="55"/>
      <c r="R34" s="55"/>
      <c r="S34" s="55"/>
      <c r="T34" s="55"/>
      <c r="U34" s="55"/>
      <c r="V34" s="55"/>
      <c r="W34" s="55"/>
      <c r="X34" s="55"/>
      <c r="Y34" s="55"/>
      <c r="Z34" s="55"/>
      <c r="AA34" s="55"/>
      <c r="AB34" s="55"/>
      <c r="AC34" s="55"/>
      <c r="AD34" s="55"/>
      <c r="AE34" s="55"/>
      <c r="AF34" s="55"/>
      <c r="AG34" s="55"/>
      <c r="AH34" s="55"/>
      <c r="AI34" s="55"/>
      <c r="AJ34" s="55"/>
      <c r="AK34" s="55"/>
      <c r="AL34" s="55"/>
      <c r="AM34" s="55"/>
      <c r="AN34" s="55"/>
      <c r="AO34" s="55"/>
      <c r="AP34" s="55"/>
      <c r="AQ34" s="55"/>
      <c r="AR34" s="55"/>
      <c r="AS34" s="24"/>
      <c r="AT34" s="24"/>
      <c r="AU34" s="24"/>
      <c r="AV34" s="24"/>
      <c r="AW34" s="24"/>
      <c r="AX34" s="24"/>
      <c r="AY34" s="24"/>
      <c r="AZ34" s="24"/>
      <c r="BA34" s="24"/>
      <c r="BB34" s="24"/>
      <c r="BC34" s="24"/>
      <c r="BD34" s="24"/>
      <c r="BE34" s="24"/>
      <c r="BF34" s="24"/>
      <c r="BG34" s="24"/>
      <c r="BH34" s="24"/>
      <c r="BI34" s="24"/>
      <c r="BJ34" s="24"/>
    </row>
    <row r="35" spans="1:62" s="4" customFormat="1" ht="21" x14ac:dyDescent="0.35">
      <c r="A35" s="206">
        <v>31</v>
      </c>
      <c r="B35" s="207">
        <f>'Team Database'!A40</f>
        <v>0</v>
      </c>
      <c r="C35" s="208">
        <v>55592</v>
      </c>
      <c r="D35" s="208" t="str">
        <f t="shared" si="0"/>
        <v>I LIVE UNDER A ROCK!</v>
      </c>
      <c r="E35" s="207">
        <f t="shared" si="1"/>
        <v>0</v>
      </c>
      <c r="F35" s="207">
        <f t="shared" si="2"/>
        <v>0</v>
      </c>
      <c r="G35" s="207">
        <f t="shared" si="3"/>
        <v>0</v>
      </c>
      <c r="H35" s="207">
        <f t="shared" si="4"/>
        <v>0</v>
      </c>
      <c r="I35" s="206">
        <f t="shared" si="5"/>
        <v>0</v>
      </c>
      <c r="J35" s="26">
        <f t="shared" si="6"/>
        <v>0</v>
      </c>
      <c r="K35" s="6">
        <f>'Team Database'!H38</f>
        <v>0</v>
      </c>
      <c r="L35" s="55"/>
      <c r="M35" s="55"/>
      <c r="N35" s="55"/>
      <c r="O35" s="55"/>
      <c r="P35" s="55"/>
      <c r="Q35" s="55"/>
      <c r="R35" s="55"/>
      <c r="S35" s="55"/>
      <c r="T35" s="55"/>
      <c r="U35" s="55"/>
      <c r="V35" s="55"/>
      <c r="W35" s="55"/>
      <c r="X35" s="55"/>
      <c r="Y35" s="55"/>
      <c r="Z35" s="55"/>
      <c r="AA35" s="55"/>
      <c r="AB35" s="55"/>
      <c r="AC35" s="55"/>
      <c r="AD35" s="55"/>
      <c r="AE35" s="55"/>
      <c r="AF35" s="55"/>
      <c r="AG35" s="55"/>
      <c r="AH35" s="55"/>
      <c r="AI35" s="55"/>
      <c r="AJ35" s="55"/>
      <c r="AK35" s="55"/>
      <c r="AL35" s="55"/>
      <c r="AM35" s="55"/>
      <c r="AN35" s="55"/>
      <c r="AO35" s="55"/>
      <c r="AP35" s="55"/>
      <c r="AQ35" s="55"/>
      <c r="AR35" s="55"/>
      <c r="AS35" s="24"/>
      <c r="AT35" s="24"/>
      <c r="AU35" s="24"/>
      <c r="AV35" s="24"/>
      <c r="AW35" s="24"/>
      <c r="AX35" s="24"/>
      <c r="AY35" s="24"/>
      <c r="AZ35" s="24"/>
      <c r="BA35" s="24"/>
      <c r="BB35" s="24"/>
      <c r="BC35" s="24"/>
      <c r="BD35" s="24"/>
      <c r="BE35" s="24"/>
      <c r="BF35" s="24"/>
      <c r="BG35" s="24"/>
      <c r="BH35" s="24"/>
      <c r="BI35" s="24"/>
      <c r="BJ35" s="24"/>
    </row>
    <row r="36" spans="1:62" s="4" customFormat="1" ht="21" x14ac:dyDescent="0.35">
      <c r="A36" s="206">
        <v>32</v>
      </c>
      <c r="B36" s="207">
        <f>'Team Database'!A36</f>
        <v>0</v>
      </c>
      <c r="C36" s="208">
        <v>55593</v>
      </c>
      <c r="D36" s="208" t="str">
        <f t="shared" si="0"/>
        <v>Robo-Fairies &lt;3</v>
      </c>
      <c r="E36" s="207">
        <f t="shared" si="1"/>
        <v>0</v>
      </c>
      <c r="F36" s="207">
        <f t="shared" si="2"/>
        <v>0</v>
      </c>
      <c r="G36" s="207">
        <f t="shared" si="3"/>
        <v>0</v>
      </c>
      <c r="H36" s="207">
        <f t="shared" si="4"/>
        <v>0</v>
      </c>
      <c r="I36" s="206">
        <f t="shared" si="5"/>
        <v>0</v>
      </c>
      <c r="J36" s="26">
        <f t="shared" si="6"/>
        <v>0</v>
      </c>
      <c r="K36" s="6">
        <f>'Team Database'!H33</f>
        <v>0</v>
      </c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  <c r="W36" s="55"/>
      <c r="X36" s="55"/>
      <c r="Y36" s="55"/>
      <c r="Z36" s="55"/>
      <c r="AA36" s="55"/>
      <c r="AB36" s="55"/>
      <c r="AC36" s="55"/>
      <c r="AD36" s="55"/>
      <c r="AE36" s="55"/>
      <c r="AF36" s="55"/>
      <c r="AG36" s="55"/>
      <c r="AH36" s="55"/>
      <c r="AI36" s="55"/>
      <c r="AJ36" s="55"/>
      <c r="AK36" s="55"/>
      <c r="AL36" s="55"/>
      <c r="AM36" s="55"/>
      <c r="AN36" s="55"/>
      <c r="AO36" s="55"/>
      <c r="AP36" s="55"/>
      <c r="AQ36" s="55"/>
      <c r="AR36" s="55"/>
      <c r="AS36" s="24"/>
      <c r="AT36" s="24"/>
      <c r="AU36" s="24"/>
      <c r="AV36" s="24"/>
      <c r="AW36" s="24"/>
      <c r="AX36" s="24"/>
      <c r="AY36" s="24"/>
      <c r="AZ36" s="24"/>
      <c r="BA36" s="24"/>
      <c r="BB36" s="24"/>
      <c r="BC36" s="24"/>
      <c r="BD36" s="24"/>
      <c r="BE36" s="24"/>
      <c r="BF36" s="24"/>
      <c r="BG36" s="24"/>
      <c r="BH36" s="24"/>
      <c r="BI36" s="24"/>
      <c r="BJ36" s="24"/>
    </row>
    <row r="37" spans="1:62" s="4" customFormat="1" ht="21" x14ac:dyDescent="0.35">
      <c r="A37" s="206">
        <v>33</v>
      </c>
      <c r="B37" s="207"/>
      <c r="C37" s="208">
        <v>55729</v>
      </c>
      <c r="D37" s="208" t="str">
        <f t="shared" si="0"/>
        <v>Ancient Bananas</v>
      </c>
      <c r="E37" s="207">
        <f t="shared" si="1"/>
        <v>0</v>
      </c>
      <c r="F37" s="207">
        <f t="shared" si="2"/>
        <v>0</v>
      </c>
      <c r="G37" s="207">
        <f t="shared" si="3"/>
        <v>0</v>
      </c>
      <c r="H37" s="207">
        <f t="shared" si="4"/>
        <v>0</v>
      </c>
      <c r="I37" s="206">
        <f t="shared" si="5"/>
        <v>0</v>
      </c>
      <c r="J37" s="26">
        <f t="shared" si="6"/>
        <v>0</v>
      </c>
      <c r="K37" s="24"/>
      <c r="L37" s="55"/>
      <c r="M37" s="55"/>
      <c r="N37" s="55"/>
      <c r="O37" s="55"/>
      <c r="P37" s="55"/>
      <c r="Q37" s="55"/>
      <c r="R37" s="55"/>
      <c r="S37" s="55"/>
      <c r="T37" s="55"/>
      <c r="U37" s="55"/>
      <c r="V37" s="55"/>
      <c r="W37" s="55"/>
      <c r="X37" s="55"/>
      <c r="Y37" s="55"/>
      <c r="Z37" s="55"/>
      <c r="AA37" s="55"/>
      <c r="AB37" s="55"/>
      <c r="AC37" s="55"/>
      <c r="AD37" s="55"/>
      <c r="AE37" s="55"/>
      <c r="AF37" s="55"/>
      <c r="AG37" s="55"/>
      <c r="AH37" s="55"/>
      <c r="AI37" s="55"/>
      <c r="AJ37" s="55"/>
      <c r="AK37" s="55"/>
      <c r="AL37" s="55"/>
      <c r="AM37" s="55"/>
      <c r="AN37" s="55"/>
      <c r="AO37" s="55"/>
      <c r="AP37" s="55"/>
      <c r="AQ37" s="55"/>
      <c r="AR37" s="55"/>
      <c r="AS37" s="24"/>
      <c r="AT37" s="24"/>
      <c r="AU37" s="24"/>
      <c r="AV37" s="24"/>
      <c r="AW37" s="24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</row>
    <row r="38" spans="1:62" s="4" customFormat="1" ht="21" x14ac:dyDescent="0.35">
      <c r="A38" s="206">
        <v>34</v>
      </c>
      <c r="B38" s="207"/>
      <c r="C38" s="208">
        <v>56372</v>
      </c>
      <c r="D38" s="208" t="str">
        <f t="shared" si="0"/>
        <v>Sharp Dressed Men</v>
      </c>
      <c r="E38" s="207">
        <f t="shared" si="1"/>
        <v>0</v>
      </c>
      <c r="F38" s="207">
        <f t="shared" si="2"/>
        <v>0</v>
      </c>
      <c r="G38" s="207">
        <f t="shared" si="3"/>
        <v>0</v>
      </c>
      <c r="H38" s="207">
        <f t="shared" si="4"/>
        <v>0</v>
      </c>
      <c r="I38" s="206">
        <f t="shared" si="5"/>
        <v>0</v>
      </c>
      <c r="J38" s="26">
        <f t="shared" si="6"/>
        <v>0</v>
      </c>
      <c r="K38" s="24"/>
      <c r="L38" s="55"/>
      <c r="M38" s="55"/>
      <c r="N38" s="55"/>
      <c r="O38" s="55"/>
      <c r="P38" s="55"/>
      <c r="Q38" s="55"/>
      <c r="R38" s="55"/>
      <c r="S38" s="55"/>
      <c r="T38" s="55"/>
      <c r="U38" s="55"/>
      <c r="V38" s="55"/>
      <c r="W38" s="55"/>
      <c r="X38" s="55"/>
      <c r="Y38" s="55"/>
      <c r="Z38" s="55"/>
      <c r="AA38" s="55"/>
      <c r="AB38" s="55"/>
      <c r="AC38" s="55"/>
      <c r="AD38" s="55"/>
      <c r="AE38" s="55"/>
      <c r="AF38" s="55"/>
      <c r="AG38" s="55"/>
      <c r="AH38" s="55"/>
      <c r="AI38" s="55"/>
      <c r="AJ38" s="55"/>
      <c r="AK38" s="55"/>
      <c r="AL38" s="55"/>
      <c r="AM38" s="55"/>
      <c r="AN38" s="55"/>
      <c r="AO38" s="55"/>
      <c r="AP38" s="55"/>
      <c r="AQ38" s="55"/>
      <c r="AR38" s="55"/>
      <c r="AS38" s="24"/>
      <c r="AT38" s="24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</row>
    <row r="39" spans="1:62" s="4" customFormat="1" ht="21" x14ac:dyDescent="0.35">
      <c r="A39" s="206">
        <v>35</v>
      </c>
      <c r="B39" s="207"/>
      <c r="C39" s="208">
        <v>58669</v>
      </c>
      <c r="D39" s="208" t="str">
        <f t="shared" si="0"/>
        <v>LEGO My Faygo</v>
      </c>
      <c r="E39" s="207">
        <f t="shared" si="1"/>
        <v>0</v>
      </c>
      <c r="F39" s="207">
        <f t="shared" si="2"/>
        <v>0</v>
      </c>
      <c r="G39" s="207">
        <f t="shared" si="3"/>
        <v>0</v>
      </c>
      <c r="H39" s="207">
        <f t="shared" si="4"/>
        <v>0</v>
      </c>
      <c r="I39" s="206">
        <f t="shared" si="5"/>
        <v>0</v>
      </c>
      <c r="J39" s="26">
        <f t="shared" si="6"/>
        <v>0</v>
      </c>
      <c r="K39" s="24"/>
      <c r="L39" s="55"/>
      <c r="M39" s="55"/>
      <c r="N39" s="55"/>
      <c r="O39" s="55"/>
      <c r="P39" s="55"/>
      <c r="Q39" s="55"/>
      <c r="R39" s="55"/>
      <c r="S39" s="55"/>
      <c r="T39" s="55"/>
      <c r="U39" s="55"/>
      <c r="V39" s="55"/>
      <c r="W39" s="55"/>
      <c r="X39" s="55"/>
      <c r="Y39" s="55"/>
      <c r="Z39" s="55"/>
      <c r="AA39" s="55"/>
      <c r="AB39" s="55"/>
      <c r="AC39" s="55"/>
      <c r="AD39" s="55"/>
      <c r="AE39" s="55"/>
      <c r="AF39" s="55"/>
      <c r="AG39" s="55"/>
      <c r="AH39" s="55"/>
      <c r="AI39" s="55"/>
      <c r="AJ39" s="55"/>
      <c r="AK39" s="55"/>
      <c r="AL39" s="55"/>
      <c r="AM39" s="55"/>
      <c r="AN39" s="55"/>
      <c r="AO39" s="55"/>
      <c r="AP39" s="55"/>
      <c r="AQ39" s="55"/>
      <c r="AR39" s="55"/>
      <c r="AS39" s="24"/>
      <c r="AT39" s="24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</row>
    <row r="40" spans="1:62" s="4" customFormat="1" ht="21" x14ac:dyDescent="0.35">
      <c r="A40" s="206">
        <v>36</v>
      </c>
      <c r="B40" s="207"/>
      <c r="C40" s="208">
        <v>58670</v>
      </c>
      <c r="D40" s="208" t="str">
        <f t="shared" si="0"/>
        <v>The Banana Repub-brick</v>
      </c>
      <c r="E40" s="207">
        <f t="shared" si="1"/>
        <v>0</v>
      </c>
      <c r="F40" s="207">
        <f t="shared" si="2"/>
        <v>0</v>
      </c>
      <c r="G40" s="207">
        <f t="shared" si="3"/>
        <v>0</v>
      </c>
      <c r="H40" s="207">
        <f t="shared" si="4"/>
        <v>0</v>
      </c>
      <c r="I40" s="206">
        <f t="shared" si="5"/>
        <v>0</v>
      </c>
      <c r="J40" s="26">
        <f t="shared" si="6"/>
        <v>0</v>
      </c>
      <c r="K40" s="24"/>
      <c r="L40" s="55"/>
      <c r="M40" s="55"/>
      <c r="N40" s="55"/>
      <c r="O40" s="55"/>
      <c r="P40" s="55"/>
      <c r="Q40" s="55"/>
      <c r="R40" s="55"/>
      <c r="S40" s="55"/>
      <c r="T40" s="55"/>
      <c r="U40" s="55"/>
      <c r="V40" s="55"/>
      <c r="W40" s="55"/>
      <c r="X40" s="55"/>
      <c r="Y40" s="55"/>
      <c r="Z40" s="55"/>
      <c r="AA40" s="55"/>
      <c r="AB40" s="55"/>
      <c r="AC40" s="55"/>
      <c r="AD40" s="55"/>
      <c r="AE40" s="55"/>
      <c r="AF40" s="55"/>
      <c r="AG40" s="55"/>
      <c r="AH40" s="55"/>
      <c r="AI40" s="55"/>
      <c r="AJ40" s="55"/>
      <c r="AK40" s="55"/>
      <c r="AL40" s="55"/>
      <c r="AM40" s="55"/>
      <c r="AN40" s="55"/>
      <c r="AO40" s="55"/>
      <c r="AP40" s="55"/>
      <c r="AQ40" s="55"/>
      <c r="AR40" s="55"/>
      <c r="AS40" s="24"/>
      <c r="AT40" s="24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</row>
    <row r="41" spans="1:62" s="4" customFormat="1" ht="21" x14ac:dyDescent="0.35">
      <c r="A41" s="206">
        <v>37</v>
      </c>
      <c r="B41" s="207"/>
      <c r="C41" s="208">
        <v>60663</v>
      </c>
      <c r="D41" s="208" t="str">
        <f t="shared" si="0"/>
        <v>The Buddies</v>
      </c>
      <c r="E41" s="207">
        <f t="shared" si="1"/>
        <v>0</v>
      </c>
      <c r="F41" s="207">
        <f t="shared" si="2"/>
        <v>0</v>
      </c>
      <c r="G41" s="207">
        <f t="shared" si="3"/>
        <v>0</v>
      </c>
      <c r="H41" s="207">
        <f t="shared" si="4"/>
        <v>0</v>
      </c>
      <c r="I41" s="206">
        <f t="shared" si="5"/>
        <v>0</v>
      </c>
      <c r="J41" s="26">
        <f t="shared" si="6"/>
        <v>0</v>
      </c>
      <c r="K41" s="24"/>
      <c r="L41" s="55"/>
      <c r="M41" s="55"/>
      <c r="N41" s="55"/>
      <c r="O41" s="55"/>
      <c r="P41" s="55"/>
      <c r="Q41" s="55"/>
      <c r="R41" s="55"/>
      <c r="S41" s="55"/>
      <c r="T41" s="55"/>
      <c r="U41" s="55"/>
      <c r="V41" s="55"/>
      <c r="W41" s="55"/>
      <c r="X41" s="55"/>
      <c r="Y41" s="55"/>
      <c r="Z41" s="55"/>
      <c r="AA41" s="55"/>
      <c r="AB41" s="55"/>
      <c r="AC41" s="55"/>
      <c r="AD41" s="55"/>
      <c r="AE41" s="55"/>
      <c r="AF41" s="55"/>
      <c r="AG41" s="55"/>
      <c r="AH41" s="55"/>
      <c r="AI41" s="55"/>
      <c r="AJ41" s="55"/>
      <c r="AK41" s="55"/>
      <c r="AL41" s="55"/>
      <c r="AM41" s="55"/>
      <c r="AN41" s="55"/>
      <c r="AO41" s="55"/>
      <c r="AP41" s="55"/>
      <c r="AQ41" s="55"/>
      <c r="AR41" s="55"/>
      <c r="AS41" s="24"/>
      <c r="AT41" s="24"/>
      <c r="AU41" s="24"/>
      <c r="AV41" s="24"/>
      <c r="AW41" s="24"/>
      <c r="AX41" s="24"/>
      <c r="AY41" s="24"/>
      <c r="AZ41" s="24"/>
      <c r="BA41" s="24"/>
      <c r="BB41" s="24"/>
      <c r="BC41" s="24"/>
      <c r="BD41" s="24"/>
      <c r="BE41" s="24"/>
      <c r="BF41" s="24"/>
      <c r="BG41" s="24"/>
      <c r="BH41" s="24"/>
      <c r="BI41" s="24"/>
      <c r="BJ41" s="24"/>
    </row>
    <row r="42" spans="1:62" s="4" customFormat="1" ht="21" x14ac:dyDescent="0.35">
      <c r="A42" s="206">
        <v>38</v>
      </c>
      <c r="B42" s="207"/>
      <c r="C42" s="208">
        <v>62076</v>
      </c>
      <c r="D42" s="208" t="str">
        <f t="shared" si="0"/>
        <v>Robo-Warriors</v>
      </c>
      <c r="E42" s="207">
        <f t="shared" si="1"/>
        <v>0</v>
      </c>
      <c r="F42" s="207">
        <f t="shared" si="2"/>
        <v>0</v>
      </c>
      <c r="G42" s="207">
        <f t="shared" si="3"/>
        <v>0</v>
      </c>
      <c r="H42" s="207">
        <f t="shared" si="4"/>
        <v>0</v>
      </c>
      <c r="I42" s="206">
        <f t="shared" si="5"/>
        <v>0</v>
      </c>
      <c r="J42" s="26">
        <f t="shared" si="6"/>
        <v>0</v>
      </c>
      <c r="K42" s="24"/>
      <c r="L42" s="55"/>
      <c r="M42" s="55"/>
      <c r="N42" s="55"/>
      <c r="O42" s="55"/>
      <c r="P42" s="55"/>
      <c r="Q42" s="55"/>
      <c r="R42" s="55"/>
      <c r="S42" s="55"/>
      <c r="T42" s="55"/>
      <c r="U42" s="55"/>
      <c r="V42" s="55"/>
      <c r="W42" s="55"/>
      <c r="X42" s="55"/>
      <c r="Y42" s="55"/>
      <c r="Z42" s="55"/>
      <c r="AA42" s="55"/>
      <c r="AB42" s="55"/>
      <c r="AC42" s="55"/>
      <c r="AD42" s="55"/>
      <c r="AE42" s="55"/>
      <c r="AF42" s="55"/>
      <c r="AG42" s="55"/>
      <c r="AH42" s="55"/>
      <c r="AI42" s="55"/>
      <c r="AJ42" s="55"/>
      <c r="AK42" s="55"/>
      <c r="AL42" s="55"/>
      <c r="AM42" s="55"/>
      <c r="AN42" s="55"/>
      <c r="AO42" s="55"/>
      <c r="AP42" s="55"/>
      <c r="AQ42" s="55"/>
      <c r="AR42" s="55"/>
      <c r="AS42" s="24"/>
      <c r="AT42" s="24"/>
      <c r="AU42" s="24"/>
      <c r="AV42" s="24"/>
      <c r="AW42" s="24"/>
      <c r="AX42" s="24"/>
      <c r="AY42" s="24"/>
      <c r="AZ42" s="24"/>
      <c r="BA42" s="24"/>
      <c r="BB42" s="24"/>
      <c r="BC42" s="24"/>
      <c r="BD42" s="24"/>
      <c r="BE42" s="24"/>
      <c r="BF42" s="24"/>
      <c r="BG42" s="24"/>
      <c r="BH42" s="24"/>
      <c r="BI42" s="24"/>
      <c r="BJ42" s="24"/>
    </row>
    <row r="43" spans="1:62" s="4" customFormat="1" ht="21" x14ac:dyDescent="0.35">
      <c r="A43" s="206">
        <v>39</v>
      </c>
      <c r="B43" s="207"/>
      <c r="C43" s="208">
        <v>62525</v>
      </c>
      <c r="D43" s="208" t="str">
        <f t="shared" si="0"/>
        <v>Everest5</v>
      </c>
      <c r="E43" s="207">
        <f t="shared" si="1"/>
        <v>0</v>
      </c>
      <c r="F43" s="207">
        <f t="shared" si="2"/>
        <v>0</v>
      </c>
      <c r="G43" s="207">
        <f t="shared" si="3"/>
        <v>0</v>
      </c>
      <c r="H43" s="207">
        <f t="shared" si="4"/>
        <v>0</v>
      </c>
      <c r="I43" s="206">
        <f t="shared" si="5"/>
        <v>0</v>
      </c>
      <c r="J43" s="26">
        <f t="shared" si="6"/>
        <v>0</v>
      </c>
      <c r="K43" s="24"/>
      <c r="L43" s="55"/>
      <c r="M43" s="55"/>
      <c r="N43" s="55"/>
      <c r="O43" s="55"/>
      <c r="P43" s="55"/>
      <c r="Q43" s="55"/>
      <c r="R43" s="55"/>
      <c r="S43" s="55"/>
      <c r="T43" s="55"/>
      <c r="U43" s="55"/>
      <c r="V43" s="55"/>
      <c r="W43" s="55"/>
      <c r="X43" s="55"/>
      <c r="Y43" s="55"/>
      <c r="Z43" s="55"/>
      <c r="AA43" s="55"/>
      <c r="AB43" s="55"/>
      <c r="AC43" s="55"/>
      <c r="AD43" s="55"/>
      <c r="AE43" s="55"/>
      <c r="AF43" s="55"/>
      <c r="AG43" s="55"/>
      <c r="AH43" s="55"/>
      <c r="AI43" s="55"/>
      <c r="AJ43" s="55"/>
      <c r="AK43" s="55"/>
      <c r="AL43" s="55"/>
      <c r="AM43" s="55"/>
      <c r="AN43" s="55"/>
      <c r="AO43" s="55"/>
      <c r="AP43" s="55"/>
      <c r="AQ43" s="55"/>
      <c r="AR43" s="55"/>
      <c r="AS43" s="24"/>
      <c r="AT43" s="24"/>
      <c r="AU43" s="24"/>
      <c r="AV43" s="24"/>
      <c r="AW43" s="24"/>
      <c r="AX43" s="24"/>
      <c r="AY43" s="24"/>
      <c r="AZ43" s="24"/>
      <c r="BA43" s="24"/>
      <c r="BB43" s="24"/>
      <c r="BC43" s="24"/>
      <c r="BD43" s="24"/>
      <c r="BE43" s="24"/>
      <c r="BF43" s="24"/>
      <c r="BG43" s="24"/>
      <c r="BH43" s="24"/>
      <c r="BI43" s="24"/>
      <c r="BJ43" s="24"/>
    </row>
    <row r="44" spans="1:62" s="4" customFormat="1" ht="21" x14ac:dyDescent="0.35">
      <c r="A44" s="206">
        <v>40</v>
      </c>
      <c r="B44" s="207"/>
      <c r="C44" s="208">
        <v>66158</v>
      </c>
      <c r="D44" s="208" t="str">
        <f t="shared" si="0"/>
        <v>Wiley Elementary Challenge</v>
      </c>
      <c r="E44" s="207">
        <f t="shared" si="1"/>
        <v>0</v>
      </c>
      <c r="F44" s="207">
        <f t="shared" si="2"/>
        <v>0</v>
      </c>
      <c r="G44" s="207">
        <f t="shared" si="3"/>
        <v>0</v>
      </c>
      <c r="H44" s="207">
        <f t="shared" si="4"/>
        <v>0</v>
      </c>
      <c r="I44" s="206">
        <f t="shared" si="5"/>
        <v>0</v>
      </c>
      <c r="J44" s="26">
        <f t="shared" si="6"/>
        <v>0</v>
      </c>
      <c r="K44" s="24"/>
      <c r="L44" s="55"/>
      <c r="M44" s="55"/>
      <c r="N44" s="55"/>
      <c r="O44" s="55"/>
      <c r="P44" s="55"/>
      <c r="Q44" s="55"/>
      <c r="R44" s="55"/>
      <c r="S44" s="55"/>
      <c r="T44" s="55"/>
      <c r="U44" s="55"/>
      <c r="V44" s="55"/>
      <c r="W44" s="55"/>
      <c r="X44" s="55"/>
      <c r="Y44" s="55"/>
      <c r="Z44" s="55"/>
      <c r="AA44" s="55"/>
      <c r="AB44" s="55"/>
      <c r="AC44" s="55"/>
      <c r="AD44" s="55"/>
      <c r="AE44" s="55"/>
      <c r="AF44" s="55"/>
      <c r="AG44" s="55"/>
      <c r="AH44" s="55"/>
      <c r="AI44" s="55"/>
      <c r="AJ44" s="55"/>
      <c r="AK44" s="55"/>
      <c r="AL44" s="55"/>
      <c r="AM44" s="55"/>
      <c r="AN44" s="55"/>
      <c r="AO44" s="55"/>
      <c r="AP44" s="55"/>
      <c r="AQ44" s="55"/>
      <c r="AR44" s="55"/>
      <c r="AS44" s="24"/>
      <c r="AT44" s="24"/>
      <c r="AU44" s="24"/>
      <c r="AV44" s="24"/>
      <c r="AW44" s="24"/>
      <c r="AX44" s="24"/>
      <c r="AY44" s="24"/>
      <c r="AZ44" s="24"/>
      <c r="BA44" s="24"/>
      <c r="BB44" s="24"/>
      <c r="BC44" s="24"/>
      <c r="BD44" s="24"/>
      <c r="BE44" s="24"/>
      <c r="BF44" s="24"/>
      <c r="BG44" s="24"/>
      <c r="BH44" s="24"/>
      <c r="BI44" s="24"/>
      <c r="BJ44" s="24"/>
    </row>
    <row r="45" spans="1:62" s="4" customFormat="1" ht="21" x14ac:dyDescent="0.35">
      <c r="A45" s="206">
        <v>41</v>
      </c>
      <c r="B45" s="207"/>
      <c r="C45" s="208">
        <v>70482</v>
      </c>
      <c r="D45" s="208" t="str">
        <f t="shared" si="0"/>
        <v>Prehistoric Panthers</v>
      </c>
      <c r="E45" s="207">
        <f t="shared" si="1"/>
        <v>0</v>
      </c>
      <c r="F45" s="207">
        <f t="shared" si="2"/>
        <v>0</v>
      </c>
      <c r="G45" s="207">
        <f t="shared" si="3"/>
        <v>0</v>
      </c>
      <c r="H45" s="207">
        <f t="shared" si="4"/>
        <v>0</v>
      </c>
      <c r="I45" s="206">
        <f t="shared" si="5"/>
        <v>0</v>
      </c>
      <c r="J45" s="26">
        <f t="shared" si="6"/>
        <v>0</v>
      </c>
      <c r="K45" s="24"/>
      <c r="L45" s="55"/>
      <c r="M45" s="55"/>
      <c r="N45" s="55"/>
      <c r="O45" s="55"/>
      <c r="P45" s="55"/>
      <c r="Q45" s="55"/>
      <c r="R45" s="55"/>
      <c r="S45" s="55"/>
      <c r="T45" s="55"/>
      <c r="U45" s="55"/>
      <c r="V45" s="55"/>
      <c r="W45" s="55"/>
      <c r="X45" s="55"/>
      <c r="Y45" s="55"/>
      <c r="Z45" s="55"/>
      <c r="AA45" s="55"/>
      <c r="AB45" s="55"/>
      <c r="AC45" s="55"/>
      <c r="AD45" s="55"/>
      <c r="AE45" s="55"/>
      <c r="AF45" s="55"/>
      <c r="AG45" s="55"/>
      <c r="AH45" s="55"/>
      <c r="AI45" s="55"/>
      <c r="AJ45" s="55"/>
      <c r="AK45" s="55"/>
      <c r="AL45" s="55"/>
      <c r="AM45" s="55"/>
      <c r="AN45" s="55"/>
      <c r="AO45" s="55"/>
      <c r="AP45" s="55"/>
      <c r="AQ45" s="55"/>
      <c r="AR45" s="55"/>
      <c r="AS45" s="24"/>
      <c r="AT45" s="24"/>
      <c r="AU45" s="24"/>
      <c r="AV45" s="24"/>
      <c r="AW45" s="24"/>
      <c r="AX45" s="24"/>
      <c r="AY45" s="24"/>
      <c r="AZ45" s="24"/>
      <c r="BA45" s="24"/>
      <c r="BB45" s="24"/>
      <c r="BC45" s="24"/>
      <c r="BD45" s="24"/>
      <c r="BE45" s="24"/>
      <c r="BF45" s="24"/>
      <c r="BG45" s="24"/>
      <c r="BH45" s="24"/>
      <c r="BI45" s="24"/>
      <c r="BJ45" s="24"/>
    </row>
    <row r="46" spans="1:62" s="4" customFormat="1" ht="21" x14ac:dyDescent="0.35">
      <c r="A46" s="206">
        <v>42</v>
      </c>
      <c r="B46" s="207"/>
      <c r="C46" s="208">
        <v>70484</v>
      </c>
      <c r="D46" s="208" t="str">
        <f t="shared" si="0"/>
        <v>Lego Panthers</v>
      </c>
      <c r="E46" s="207">
        <f t="shared" si="1"/>
        <v>0</v>
      </c>
      <c r="F46" s="207">
        <f t="shared" si="2"/>
        <v>0</v>
      </c>
      <c r="G46" s="207">
        <f t="shared" si="3"/>
        <v>0</v>
      </c>
      <c r="H46" s="207">
        <f t="shared" si="4"/>
        <v>0</v>
      </c>
      <c r="I46" s="206">
        <f t="shared" si="5"/>
        <v>0</v>
      </c>
      <c r="J46" s="26">
        <f t="shared" si="6"/>
        <v>0</v>
      </c>
      <c r="K46" s="24"/>
      <c r="L46" s="55"/>
      <c r="M46" s="55"/>
      <c r="N46" s="55"/>
      <c r="O46" s="55"/>
      <c r="P46" s="55"/>
      <c r="Q46" s="55"/>
      <c r="R46" s="55"/>
      <c r="S46" s="55"/>
      <c r="T46" s="55"/>
      <c r="U46" s="55"/>
      <c r="V46" s="55"/>
      <c r="W46" s="55"/>
      <c r="X46" s="55"/>
      <c r="Y46" s="55"/>
      <c r="Z46" s="55"/>
      <c r="AA46" s="55"/>
      <c r="AB46" s="55"/>
      <c r="AC46" s="55"/>
      <c r="AD46" s="55"/>
      <c r="AE46" s="55"/>
      <c r="AF46" s="55"/>
      <c r="AG46" s="55"/>
      <c r="AH46" s="55"/>
      <c r="AI46" s="55"/>
      <c r="AJ46" s="55"/>
      <c r="AK46" s="55"/>
      <c r="AL46" s="55"/>
      <c r="AM46" s="55"/>
      <c r="AN46" s="55"/>
      <c r="AO46" s="55"/>
      <c r="AP46" s="55"/>
      <c r="AQ46" s="55"/>
      <c r="AR46" s="55"/>
      <c r="AS46" s="24"/>
      <c r="AT46" s="24"/>
      <c r="AU46" s="24"/>
      <c r="AV46" s="24"/>
      <c r="AW46" s="24"/>
      <c r="AX46" s="24"/>
      <c r="AY46" s="24"/>
      <c r="AZ46" s="24"/>
      <c r="BA46" s="24"/>
      <c r="BB46" s="24"/>
      <c r="BC46" s="24"/>
      <c r="BD46" s="24"/>
      <c r="BE46" s="24"/>
      <c r="BF46" s="24"/>
      <c r="BG46" s="24"/>
      <c r="BH46" s="24"/>
      <c r="BI46" s="24"/>
      <c r="BJ46" s="24"/>
    </row>
    <row r="47" spans="1:62" s="4" customFormat="1" ht="21" x14ac:dyDescent="0.35">
      <c r="A47" s="206">
        <v>43</v>
      </c>
      <c r="B47" s="207"/>
      <c r="C47" s="208">
        <v>70682</v>
      </c>
      <c r="D47" s="208" t="str">
        <f t="shared" si="0"/>
        <v>Roberts Robotics The Thunder Nuggets</v>
      </c>
      <c r="E47" s="207">
        <f t="shared" si="1"/>
        <v>0</v>
      </c>
      <c r="F47" s="207">
        <f t="shared" si="2"/>
        <v>0</v>
      </c>
      <c r="G47" s="207">
        <f t="shared" si="3"/>
        <v>0</v>
      </c>
      <c r="H47" s="207">
        <f t="shared" si="4"/>
        <v>0</v>
      </c>
      <c r="I47" s="206">
        <f t="shared" si="5"/>
        <v>0</v>
      </c>
      <c r="J47" s="26">
        <f t="shared" si="6"/>
        <v>0</v>
      </c>
      <c r="K47" s="24"/>
      <c r="L47" s="55"/>
      <c r="M47" s="55"/>
      <c r="N47" s="55"/>
      <c r="O47" s="55"/>
      <c r="P47" s="55"/>
      <c r="Q47" s="55"/>
      <c r="R47" s="55"/>
      <c r="S47" s="55"/>
      <c r="T47" s="55"/>
      <c r="U47" s="55"/>
      <c r="V47" s="55"/>
      <c r="W47" s="55"/>
      <c r="X47" s="55"/>
      <c r="Y47" s="55"/>
      <c r="Z47" s="55"/>
      <c r="AA47" s="55"/>
      <c r="AB47" s="55"/>
      <c r="AC47" s="55"/>
      <c r="AD47" s="55"/>
      <c r="AE47" s="55"/>
      <c r="AF47" s="55"/>
      <c r="AG47" s="55"/>
      <c r="AH47" s="55"/>
      <c r="AI47" s="55"/>
      <c r="AJ47" s="55"/>
      <c r="AK47" s="55"/>
      <c r="AL47" s="55"/>
      <c r="AM47" s="55"/>
      <c r="AN47" s="55"/>
      <c r="AO47" s="55"/>
      <c r="AP47" s="55"/>
      <c r="AQ47" s="55"/>
      <c r="AR47" s="55"/>
      <c r="AS47" s="24"/>
      <c r="AT47" s="24"/>
      <c r="AU47" s="24"/>
      <c r="AV47" s="24"/>
      <c r="AW47" s="24"/>
      <c r="AX47" s="24"/>
      <c r="AY47" s="24"/>
      <c r="AZ47" s="24"/>
      <c r="BA47" s="24"/>
      <c r="BB47" s="24"/>
      <c r="BC47" s="24"/>
      <c r="BD47" s="24"/>
      <c r="BE47" s="24"/>
      <c r="BF47" s="24"/>
      <c r="BG47" s="24"/>
      <c r="BH47" s="24"/>
      <c r="BI47" s="24"/>
      <c r="BJ47" s="24"/>
    </row>
    <row r="48" spans="1:62" s="4" customFormat="1" ht="21" x14ac:dyDescent="0.35">
      <c r="A48" s="206">
        <v>44</v>
      </c>
      <c r="B48" s="207"/>
      <c r="C48" s="208">
        <v>71954</v>
      </c>
      <c r="D48" s="208" t="str">
        <f t="shared" si="0"/>
        <v>BIT BUSTERS</v>
      </c>
      <c r="E48" s="207">
        <f t="shared" si="1"/>
        <v>0</v>
      </c>
      <c r="F48" s="207">
        <f t="shared" si="2"/>
        <v>0</v>
      </c>
      <c r="G48" s="207">
        <f t="shared" si="3"/>
        <v>0</v>
      </c>
      <c r="H48" s="207">
        <f t="shared" si="4"/>
        <v>0</v>
      </c>
      <c r="I48" s="206">
        <f t="shared" si="5"/>
        <v>0</v>
      </c>
      <c r="J48" s="26">
        <f t="shared" si="6"/>
        <v>0</v>
      </c>
      <c r="K48" s="24"/>
      <c r="L48" s="55"/>
      <c r="M48" s="55"/>
      <c r="N48" s="55"/>
      <c r="O48" s="55"/>
      <c r="P48" s="55"/>
      <c r="Q48" s="55"/>
      <c r="R48" s="55"/>
      <c r="S48" s="55"/>
      <c r="T48" s="55"/>
      <c r="U48" s="55"/>
      <c r="V48" s="55"/>
      <c r="W48" s="55"/>
      <c r="X48" s="55"/>
      <c r="Y48" s="55"/>
      <c r="Z48" s="55"/>
      <c r="AA48" s="55"/>
      <c r="AB48" s="55"/>
      <c r="AC48" s="55"/>
      <c r="AD48" s="55"/>
      <c r="AE48" s="55"/>
      <c r="AF48" s="55"/>
      <c r="AG48" s="55"/>
      <c r="AH48" s="55"/>
      <c r="AI48" s="55"/>
      <c r="AJ48" s="55"/>
      <c r="AK48" s="55"/>
      <c r="AL48" s="55"/>
      <c r="AM48" s="55"/>
      <c r="AN48" s="55"/>
      <c r="AO48" s="55"/>
      <c r="AP48" s="55"/>
      <c r="AQ48" s="55"/>
      <c r="AR48" s="55"/>
      <c r="AS48" s="24"/>
      <c r="AT48" s="24"/>
      <c r="AU48" s="24"/>
      <c r="AV48" s="24"/>
      <c r="AW48" s="24"/>
      <c r="AX48" s="24"/>
      <c r="AY48" s="24"/>
      <c r="AZ48" s="24"/>
      <c r="BA48" s="24"/>
      <c r="BB48" s="24"/>
      <c r="BC48" s="24"/>
      <c r="BD48" s="24"/>
      <c r="BE48" s="24"/>
      <c r="BF48" s="24"/>
      <c r="BG48" s="24"/>
      <c r="BH48" s="24"/>
      <c r="BI48" s="24"/>
      <c r="BJ48" s="24"/>
    </row>
    <row r="49" spans="1:62" s="4" customFormat="1" ht="21" x14ac:dyDescent="0.35">
      <c r="A49" s="206">
        <v>45</v>
      </c>
      <c r="B49" s="207"/>
      <c r="C49" s="208">
        <v>72238</v>
      </c>
      <c r="D49" s="208" t="str">
        <f t="shared" si="0"/>
        <v>Flickinger Falcons</v>
      </c>
      <c r="E49" s="207">
        <f t="shared" si="1"/>
        <v>0</v>
      </c>
      <c r="F49" s="207">
        <f t="shared" si="2"/>
        <v>0</v>
      </c>
      <c r="G49" s="207">
        <f t="shared" si="3"/>
        <v>0</v>
      </c>
      <c r="H49" s="207">
        <f t="shared" si="4"/>
        <v>0</v>
      </c>
      <c r="I49" s="206">
        <f t="shared" si="5"/>
        <v>0</v>
      </c>
      <c r="J49" s="26">
        <f t="shared" si="6"/>
        <v>0</v>
      </c>
      <c r="K49" s="24"/>
      <c r="L49" s="55"/>
      <c r="M49" s="55"/>
      <c r="N49" s="55"/>
      <c r="O49" s="55"/>
      <c r="P49" s="55"/>
      <c r="Q49" s="55"/>
      <c r="R49" s="55"/>
      <c r="S49" s="55"/>
      <c r="T49" s="55"/>
      <c r="U49" s="55"/>
      <c r="V49" s="55"/>
      <c r="W49" s="55"/>
      <c r="X49" s="55"/>
      <c r="Y49" s="55"/>
      <c r="Z49" s="55"/>
      <c r="AA49" s="55"/>
      <c r="AB49" s="55"/>
      <c r="AC49" s="55"/>
      <c r="AD49" s="55"/>
      <c r="AE49" s="55"/>
      <c r="AF49" s="55"/>
      <c r="AG49" s="55"/>
      <c r="AH49" s="55"/>
      <c r="AI49" s="55"/>
      <c r="AJ49" s="55"/>
      <c r="AK49" s="55"/>
      <c r="AL49" s="55"/>
      <c r="AM49" s="55"/>
      <c r="AN49" s="55"/>
      <c r="AO49" s="55"/>
      <c r="AP49" s="55"/>
      <c r="AQ49" s="55"/>
      <c r="AR49" s="55"/>
      <c r="AS49" s="24"/>
      <c r="AT49" s="24"/>
      <c r="AU49" s="24"/>
      <c r="AV49" s="24"/>
      <c r="AW49" s="24"/>
      <c r="AX49" s="24"/>
      <c r="AY49" s="24"/>
      <c r="AZ49" s="24"/>
      <c r="BA49" s="24"/>
      <c r="BB49" s="24"/>
      <c r="BC49" s="24"/>
      <c r="BD49" s="24"/>
      <c r="BE49" s="24"/>
      <c r="BF49" s="24"/>
      <c r="BG49" s="24"/>
      <c r="BH49" s="24"/>
      <c r="BI49" s="24"/>
      <c r="BJ49" s="24"/>
    </row>
    <row r="50" spans="1:62" s="4" customFormat="1" ht="21" x14ac:dyDescent="0.35">
      <c r="A50" s="206">
        <v>46</v>
      </c>
      <c r="B50" s="207"/>
      <c r="C50" s="208">
        <v>73559</v>
      </c>
      <c r="D50" s="208" t="str">
        <f t="shared" si="0"/>
        <v>Potato Ducks</v>
      </c>
      <c r="E50" s="207">
        <f t="shared" si="1"/>
        <v>0</v>
      </c>
      <c r="F50" s="207">
        <f t="shared" si="2"/>
        <v>0</v>
      </c>
      <c r="G50" s="207">
        <f t="shared" si="3"/>
        <v>0</v>
      </c>
      <c r="H50" s="207">
        <f t="shared" si="4"/>
        <v>0</v>
      </c>
      <c r="I50" s="206">
        <f t="shared" si="5"/>
        <v>0</v>
      </c>
      <c r="J50" s="26">
        <f t="shared" si="6"/>
        <v>0</v>
      </c>
      <c r="K50" s="24"/>
      <c r="L50" s="55"/>
      <c r="M50" s="55"/>
      <c r="N50" s="55"/>
      <c r="O50" s="55"/>
      <c r="P50" s="55"/>
      <c r="Q50" s="55"/>
      <c r="R50" s="55"/>
      <c r="S50" s="55"/>
      <c r="T50" s="55"/>
      <c r="U50" s="55"/>
      <c r="V50" s="55"/>
      <c r="W50" s="55"/>
      <c r="X50" s="55"/>
      <c r="Y50" s="55"/>
      <c r="Z50" s="55"/>
      <c r="AA50" s="55"/>
      <c r="AB50" s="55"/>
      <c r="AC50" s="55"/>
      <c r="AD50" s="55"/>
      <c r="AE50" s="55"/>
      <c r="AF50" s="55"/>
      <c r="AG50" s="55"/>
      <c r="AH50" s="55"/>
      <c r="AI50" s="55"/>
      <c r="AJ50" s="55"/>
      <c r="AK50" s="55"/>
      <c r="AL50" s="55"/>
      <c r="AM50" s="55"/>
      <c r="AN50" s="55"/>
      <c r="AO50" s="55"/>
      <c r="AP50" s="55"/>
      <c r="AQ50" s="55"/>
      <c r="AR50" s="55"/>
      <c r="AS50" s="24"/>
      <c r="AT50" s="24"/>
      <c r="AU50" s="24"/>
      <c r="AV50" s="24"/>
      <c r="AW50" s="24"/>
      <c r="AX50" s="24"/>
      <c r="AY50" s="24"/>
      <c r="AZ50" s="24"/>
      <c r="BA50" s="24"/>
      <c r="BB50" s="24"/>
      <c r="BC50" s="24"/>
      <c r="BD50" s="24"/>
      <c r="BE50" s="24"/>
      <c r="BF50" s="24"/>
      <c r="BG50" s="24"/>
      <c r="BH50" s="24"/>
      <c r="BI50" s="24"/>
      <c r="BJ50" s="24"/>
    </row>
    <row r="51" spans="1:62" s="4" customFormat="1" ht="21" x14ac:dyDescent="0.35">
      <c r="A51" s="206">
        <v>47</v>
      </c>
      <c r="B51" s="207"/>
      <c r="C51" s="208">
        <v>74327</v>
      </c>
      <c r="D51" s="208" t="str">
        <f t="shared" si="0"/>
        <v>DeKeyser Dolphins</v>
      </c>
      <c r="E51" s="207">
        <f t="shared" si="1"/>
        <v>0</v>
      </c>
      <c r="F51" s="207">
        <f t="shared" si="2"/>
        <v>0</v>
      </c>
      <c r="G51" s="207">
        <f t="shared" si="3"/>
        <v>0</v>
      </c>
      <c r="H51" s="207">
        <f t="shared" si="4"/>
        <v>0</v>
      </c>
      <c r="I51" s="206">
        <f t="shared" si="5"/>
        <v>0</v>
      </c>
      <c r="J51" s="26">
        <f t="shared" si="6"/>
        <v>0</v>
      </c>
      <c r="K51" s="24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5"/>
      <c r="W51" s="55"/>
      <c r="X51" s="55"/>
      <c r="Y51" s="55"/>
      <c r="Z51" s="55"/>
      <c r="AA51" s="55"/>
      <c r="AB51" s="55"/>
      <c r="AC51" s="55"/>
      <c r="AD51" s="55"/>
      <c r="AE51" s="55"/>
      <c r="AF51" s="55"/>
      <c r="AG51" s="55"/>
      <c r="AH51" s="55"/>
      <c r="AI51" s="55"/>
      <c r="AJ51" s="55"/>
      <c r="AK51" s="55"/>
      <c r="AL51" s="55"/>
      <c r="AM51" s="55"/>
      <c r="AN51" s="55"/>
      <c r="AO51" s="55"/>
      <c r="AP51" s="55"/>
      <c r="AQ51" s="55"/>
      <c r="AR51" s="55"/>
      <c r="AS51" s="24"/>
      <c r="AT51" s="24"/>
      <c r="AU51" s="24"/>
      <c r="AV51" s="24"/>
      <c r="AW51" s="24"/>
      <c r="AX51" s="24"/>
      <c r="AY51" s="24"/>
      <c r="AZ51" s="24"/>
      <c r="BA51" s="24"/>
      <c r="BB51" s="24"/>
      <c r="BC51" s="24"/>
      <c r="BD51" s="24"/>
      <c r="BE51" s="24"/>
      <c r="BF51" s="24"/>
      <c r="BG51" s="24"/>
      <c r="BH51" s="24"/>
      <c r="BI51" s="24"/>
      <c r="BJ51" s="24"/>
    </row>
    <row r="52" spans="1:62" s="4" customFormat="1" ht="21" x14ac:dyDescent="0.35">
      <c r="A52" s="206">
        <v>48</v>
      </c>
      <c r="B52" s="207"/>
      <c r="C52" s="208">
        <v>74569</v>
      </c>
      <c r="D52" s="208" t="str">
        <f t="shared" si="0"/>
        <v>Robotic Overlords</v>
      </c>
      <c r="E52" s="207">
        <f t="shared" si="1"/>
        <v>0</v>
      </c>
      <c r="F52" s="207">
        <f t="shared" si="2"/>
        <v>0</v>
      </c>
      <c r="G52" s="207">
        <f t="shared" si="3"/>
        <v>0</v>
      </c>
      <c r="H52" s="207">
        <f t="shared" si="4"/>
        <v>0</v>
      </c>
      <c r="I52" s="206">
        <f t="shared" si="5"/>
        <v>0</v>
      </c>
      <c r="J52" s="26">
        <f t="shared" si="6"/>
        <v>0</v>
      </c>
      <c r="K52" s="24"/>
      <c r="L52" s="55"/>
      <c r="M52" s="55"/>
      <c r="N52" s="55"/>
      <c r="O52" s="55"/>
      <c r="P52" s="55"/>
      <c r="Q52" s="55"/>
      <c r="R52" s="55"/>
      <c r="S52" s="55"/>
      <c r="T52" s="55"/>
      <c r="U52" s="55"/>
      <c r="V52" s="55"/>
      <c r="W52" s="55"/>
      <c r="X52" s="55"/>
      <c r="Y52" s="55"/>
      <c r="Z52" s="55"/>
      <c r="AA52" s="55"/>
      <c r="AB52" s="55"/>
      <c r="AC52" s="55"/>
      <c r="AD52" s="55"/>
      <c r="AE52" s="55"/>
      <c r="AF52" s="55"/>
      <c r="AG52" s="55"/>
      <c r="AH52" s="55"/>
      <c r="AI52" s="55"/>
      <c r="AJ52" s="55"/>
      <c r="AK52" s="55"/>
      <c r="AL52" s="55"/>
      <c r="AM52" s="55"/>
      <c r="AN52" s="55"/>
      <c r="AO52" s="55"/>
      <c r="AP52" s="55"/>
      <c r="AQ52" s="55"/>
      <c r="AR52" s="55"/>
      <c r="AS52" s="24"/>
      <c r="AT52" s="24"/>
      <c r="AU52" s="24"/>
      <c r="AV52" s="24"/>
      <c r="AW52" s="24"/>
      <c r="AX52" s="24"/>
      <c r="AY52" s="24"/>
      <c r="AZ52" s="24"/>
      <c r="BA52" s="24"/>
      <c r="BB52" s="24"/>
      <c r="BC52" s="24"/>
      <c r="BD52" s="24"/>
      <c r="BE52" s="24"/>
      <c r="BF52" s="24"/>
      <c r="BG52" s="24"/>
      <c r="BH52" s="24"/>
      <c r="BI52" s="24"/>
      <c r="BJ52" s="24"/>
    </row>
    <row r="53" spans="1:62" s="55" customFormat="1" ht="12.75" x14ac:dyDescent="0.2">
      <c r="A53" s="196"/>
      <c r="B53" s="196"/>
      <c r="C53" s="196"/>
      <c r="D53" s="196"/>
      <c r="E53" s="196"/>
      <c r="F53" s="196"/>
      <c r="G53" s="196"/>
      <c r="H53" s="196"/>
      <c r="I53" s="196"/>
    </row>
    <row r="54" spans="1:62" s="55" customFormat="1" ht="12.75" x14ac:dyDescent="0.2">
      <c r="A54" s="196"/>
      <c r="B54" s="196"/>
      <c r="C54" s="196"/>
      <c r="D54" s="196"/>
      <c r="E54" s="196"/>
      <c r="F54" s="196"/>
      <c r="G54" s="196"/>
      <c r="H54" s="196"/>
      <c r="I54" s="196"/>
    </row>
    <row r="55" spans="1:62" s="55" customFormat="1" ht="12.75" x14ac:dyDescent="0.2">
      <c r="A55" s="196"/>
      <c r="B55" s="196"/>
      <c r="C55" s="196"/>
      <c r="D55" s="196"/>
      <c r="E55" s="196"/>
      <c r="F55" s="196"/>
      <c r="G55" s="196"/>
      <c r="H55" s="196"/>
      <c r="I55" s="196"/>
    </row>
    <row r="56" spans="1:62" s="55" customFormat="1" ht="12.75" x14ac:dyDescent="0.2">
      <c r="A56" s="196"/>
      <c r="B56" s="196"/>
      <c r="C56" s="196"/>
      <c r="D56" s="196"/>
      <c r="E56" s="196"/>
      <c r="F56" s="196"/>
      <c r="G56" s="196"/>
      <c r="H56" s="196"/>
      <c r="I56" s="196"/>
    </row>
    <row r="57" spans="1:62" s="55" customFormat="1" ht="12.75" x14ac:dyDescent="0.2">
      <c r="A57" s="196"/>
      <c r="B57" s="196"/>
      <c r="C57" s="196"/>
      <c r="D57" s="196"/>
      <c r="E57" s="196"/>
      <c r="F57" s="196"/>
      <c r="G57" s="196"/>
      <c r="H57" s="196"/>
      <c r="I57" s="196"/>
    </row>
    <row r="58" spans="1:62" s="55" customFormat="1" ht="12.75" x14ac:dyDescent="0.2">
      <c r="A58" s="196"/>
      <c r="B58" s="196"/>
      <c r="C58" s="196"/>
      <c r="D58" s="196"/>
      <c r="E58" s="196"/>
      <c r="F58" s="196"/>
      <c r="G58" s="196"/>
      <c r="H58" s="196"/>
      <c r="I58" s="196"/>
    </row>
    <row r="59" spans="1:62" s="55" customFormat="1" ht="12.75" x14ac:dyDescent="0.2">
      <c r="A59" s="196"/>
      <c r="B59" s="196"/>
      <c r="C59" s="196"/>
      <c r="D59" s="196"/>
      <c r="E59" s="196"/>
      <c r="F59" s="196"/>
      <c r="G59" s="196"/>
      <c r="H59" s="196"/>
      <c r="I59" s="196"/>
    </row>
    <row r="60" spans="1:62" s="55" customFormat="1" ht="12.75" x14ac:dyDescent="0.2">
      <c r="A60" s="196"/>
      <c r="B60" s="196"/>
      <c r="C60" s="196"/>
      <c r="D60" s="196"/>
      <c r="E60" s="196"/>
      <c r="F60" s="196"/>
      <c r="G60" s="196"/>
      <c r="H60" s="196"/>
      <c r="I60" s="196"/>
    </row>
    <row r="61" spans="1:62" s="55" customFormat="1" ht="12.75" x14ac:dyDescent="0.2">
      <c r="A61" s="196"/>
      <c r="B61" s="196"/>
      <c r="C61" s="196"/>
      <c r="D61" s="196"/>
      <c r="E61" s="196"/>
      <c r="F61" s="196"/>
      <c r="G61" s="196"/>
      <c r="H61" s="196"/>
      <c r="I61" s="196"/>
    </row>
    <row r="62" spans="1:62" s="55" customFormat="1" ht="12.75" x14ac:dyDescent="0.2">
      <c r="A62" s="196"/>
      <c r="B62" s="196"/>
      <c r="C62" s="196"/>
      <c r="D62" s="196"/>
      <c r="E62" s="196"/>
      <c r="F62" s="196"/>
      <c r="G62" s="196"/>
      <c r="H62" s="196"/>
      <c r="I62" s="196"/>
    </row>
    <row r="63" spans="1:62" s="55" customFormat="1" ht="12.75" x14ac:dyDescent="0.2">
      <c r="A63" s="196"/>
      <c r="B63" s="196"/>
      <c r="C63" s="196"/>
      <c r="D63" s="196"/>
      <c r="E63" s="196"/>
      <c r="F63" s="196"/>
      <c r="G63" s="196"/>
      <c r="H63" s="196"/>
      <c r="I63" s="196"/>
    </row>
    <row r="64" spans="1:62" s="55" customFormat="1" ht="12.75" x14ac:dyDescent="0.2">
      <c r="A64" s="196"/>
      <c r="B64" s="196"/>
      <c r="C64" s="196"/>
      <c r="D64" s="196"/>
      <c r="E64" s="196"/>
      <c r="F64" s="196"/>
      <c r="G64" s="196"/>
      <c r="H64" s="196"/>
      <c r="I64" s="196"/>
    </row>
    <row r="65" spans="1:10" s="55" customFormat="1" ht="12.75" x14ac:dyDescent="0.2">
      <c r="A65" s="196"/>
      <c r="B65" s="196"/>
      <c r="C65" s="196"/>
      <c r="D65" s="196"/>
      <c r="E65" s="196"/>
      <c r="F65" s="196"/>
      <c r="G65" s="196"/>
      <c r="H65" s="196"/>
      <c r="I65" s="196"/>
    </row>
    <row r="66" spans="1:10" s="55" customFormat="1" ht="12.75" x14ac:dyDescent="0.2">
      <c r="A66" s="196"/>
      <c r="B66" s="196"/>
      <c r="C66" s="196"/>
      <c r="D66" s="196"/>
      <c r="E66" s="196"/>
      <c r="F66" s="196"/>
      <c r="G66" s="196"/>
      <c r="H66" s="196"/>
      <c r="I66" s="196"/>
    </row>
    <row r="67" spans="1:10" s="55" customFormat="1" ht="12.75" x14ac:dyDescent="0.2">
      <c r="A67" s="196"/>
      <c r="B67" s="196"/>
      <c r="C67" s="196"/>
      <c r="D67" s="196"/>
      <c r="E67" s="196"/>
      <c r="F67" s="196"/>
      <c r="G67" s="196"/>
      <c r="H67" s="196"/>
      <c r="I67" s="196"/>
    </row>
    <row r="68" spans="1:10" s="55" customFormat="1" ht="12.75" x14ac:dyDescent="0.2">
      <c r="A68" s="196"/>
      <c r="B68" s="196"/>
      <c r="C68" s="196"/>
      <c r="D68" s="196"/>
      <c r="E68" s="196"/>
      <c r="F68" s="196"/>
      <c r="G68" s="196"/>
      <c r="H68" s="196"/>
      <c r="I68" s="196"/>
    </row>
    <row r="69" spans="1:10" s="55" customFormat="1" ht="12.75" x14ac:dyDescent="0.2">
      <c r="A69" s="196"/>
      <c r="B69" s="196"/>
      <c r="C69" s="196"/>
      <c r="D69" s="196"/>
      <c r="E69" s="196"/>
      <c r="F69" s="196"/>
      <c r="G69" s="196"/>
      <c r="H69" s="196"/>
      <c r="I69" s="196"/>
    </row>
    <row r="70" spans="1:10" s="55" customFormat="1" ht="12.75" x14ac:dyDescent="0.2">
      <c r="A70" s="196"/>
      <c r="B70" s="196"/>
      <c r="C70" s="196"/>
      <c r="D70" s="196"/>
      <c r="E70" s="196"/>
      <c r="F70" s="196"/>
      <c r="G70" s="196"/>
      <c r="H70" s="196"/>
      <c r="I70" s="196"/>
    </row>
    <row r="71" spans="1:10" s="55" customFormat="1" ht="12.75" x14ac:dyDescent="0.2">
      <c r="A71" s="196"/>
      <c r="B71" s="196"/>
      <c r="C71" s="196"/>
      <c r="D71" s="196"/>
      <c r="E71" s="196"/>
      <c r="F71" s="196"/>
      <c r="G71" s="196"/>
      <c r="H71" s="196"/>
      <c r="I71" s="196"/>
    </row>
    <row r="72" spans="1:10" s="55" customFormat="1" ht="12.75" x14ac:dyDescent="0.2">
      <c r="A72" s="196"/>
      <c r="B72" s="196"/>
      <c r="C72" s="196"/>
      <c r="D72" s="196"/>
      <c r="E72" s="196"/>
      <c r="F72" s="196"/>
      <c r="G72" s="196"/>
      <c r="H72" s="196"/>
      <c r="I72" s="196"/>
    </row>
    <row r="73" spans="1:10" s="55" customFormat="1" x14ac:dyDescent="0.25">
      <c r="A73" s="196"/>
      <c r="B73" s="196"/>
      <c r="C73" s="199"/>
      <c r="D73" s="199"/>
      <c r="E73" s="199"/>
      <c r="F73" s="199"/>
      <c r="G73" s="199"/>
      <c r="H73" s="199"/>
      <c r="I73" s="199"/>
      <c r="J73" s="57"/>
    </row>
    <row r="74" spans="1:10" s="55" customFormat="1" x14ac:dyDescent="0.25">
      <c r="A74" s="199"/>
      <c r="B74" s="199"/>
      <c r="C74" s="199"/>
      <c r="D74" s="199"/>
      <c r="E74" s="199"/>
      <c r="F74" s="199"/>
      <c r="G74" s="199"/>
      <c r="H74" s="199"/>
      <c r="I74" s="199"/>
      <c r="J74" s="57"/>
    </row>
    <row r="75" spans="1:10" s="55" customFormat="1" x14ac:dyDescent="0.25">
      <c r="A75" s="199"/>
      <c r="B75" s="199"/>
      <c r="C75" s="199"/>
      <c r="D75" s="199"/>
      <c r="E75" s="199"/>
      <c r="F75" s="199"/>
      <c r="G75" s="199"/>
      <c r="H75" s="199"/>
      <c r="I75" s="199"/>
      <c r="J75" s="57"/>
    </row>
    <row r="76" spans="1:10" s="55" customFormat="1" x14ac:dyDescent="0.25">
      <c r="A76" s="199"/>
      <c r="B76" s="199"/>
      <c r="C76" s="199"/>
      <c r="D76" s="199"/>
      <c r="E76" s="199"/>
      <c r="F76" s="199"/>
      <c r="G76" s="199"/>
      <c r="H76" s="199"/>
      <c r="I76" s="199"/>
      <c r="J76" s="57"/>
    </row>
    <row r="77" spans="1:10" s="55" customFormat="1" x14ac:dyDescent="0.25">
      <c r="A77" s="199"/>
      <c r="B77" s="199"/>
      <c r="C77" s="199"/>
      <c r="D77" s="199"/>
      <c r="E77" s="199"/>
      <c r="F77" s="199"/>
      <c r="G77" s="199"/>
      <c r="H77" s="199"/>
      <c r="I77" s="199"/>
      <c r="J77" s="57"/>
    </row>
    <row r="78" spans="1:10" s="55" customFormat="1" x14ac:dyDescent="0.25">
      <c r="A78" s="199"/>
      <c r="B78" s="199"/>
      <c r="C78" s="199"/>
      <c r="D78" s="199"/>
      <c r="E78" s="199"/>
      <c r="F78" s="199"/>
      <c r="G78" s="199"/>
      <c r="H78" s="199"/>
      <c r="I78" s="199"/>
      <c r="J78" s="57"/>
    </row>
    <row r="79" spans="1:10" s="55" customFormat="1" x14ac:dyDescent="0.25">
      <c r="A79" s="199"/>
      <c r="B79" s="199"/>
      <c r="C79" s="199"/>
      <c r="D79" s="199"/>
      <c r="E79" s="199"/>
      <c r="F79" s="199"/>
      <c r="G79" s="199"/>
      <c r="H79" s="199"/>
      <c r="I79" s="199"/>
      <c r="J79" s="57"/>
    </row>
    <row r="80" spans="1:10" s="55" customFormat="1" x14ac:dyDescent="0.25">
      <c r="A80" s="199"/>
      <c r="B80" s="199"/>
      <c r="C80" s="199"/>
      <c r="D80" s="199"/>
      <c r="E80" s="199"/>
      <c r="F80" s="199"/>
      <c r="G80" s="199"/>
      <c r="H80" s="199"/>
      <c r="I80" s="199"/>
      <c r="J80" s="57"/>
    </row>
    <row r="81" spans="1:10" s="55" customFormat="1" x14ac:dyDescent="0.25">
      <c r="A81" s="199"/>
      <c r="B81" s="199"/>
      <c r="C81" s="199"/>
      <c r="D81" s="199"/>
      <c r="E81" s="199"/>
      <c r="F81" s="199"/>
      <c r="G81" s="199"/>
      <c r="H81" s="199"/>
      <c r="I81" s="199"/>
      <c r="J81" s="57"/>
    </row>
    <row r="82" spans="1:10" s="55" customFormat="1" x14ac:dyDescent="0.25">
      <c r="A82" s="199"/>
      <c r="B82" s="199"/>
      <c r="C82" s="199"/>
      <c r="D82" s="199"/>
      <c r="E82" s="199"/>
      <c r="F82" s="199"/>
      <c r="G82" s="199"/>
      <c r="H82" s="199"/>
      <c r="I82" s="199"/>
      <c r="J82" s="57"/>
    </row>
    <row r="83" spans="1:10" s="57" customFormat="1" x14ac:dyDescent="0.25">
      <c r="A83" s="199"/>
      <c r="B83" s="199"/>
      <c r="C83" s="199"/>
      <c r="D83" s="199"/>
      <c r="E83" s="199"/>
      <c r="F83" s="199"/>
      <c r="G83" s="199"/>
      <c r="H83" s="199"/>
      <c r="I83" s="199"/>
    </row>
    <row r="84" spans="1:10" s="57" customFormat="1" x14ac:dyDescent="0.25">
      <c r="A84" s="199"/>
      <c r="B84" s="199"/>
      <c r="C84" s="199"/>
      <c r="D84" s="199"/>
      <c r="E84" s="199"/>
      <c r="F84" s="199"/>
      <c r="G84" s="199"/>
      <c r="H84" s="199"/>
      <c r="I84" s="199"/>
    </row>
    <row r="85" spans="1:10" s="57" customFormat="1" x14ac:dyDescent="0.25">
      <c r="A85" s="199"/>
      <c r="B85" s="199"/>
      <c r="C85" s="199"/>
      <c r="D85" s="199"/>
      <c r="E85" s="199"/>
      <c r="F85" s="199"/>
      <c r="G85" s="199"/>
      <c r="H85" s="199"/>
      <c r="I85" s="199"/>
    </row>
    <row r="86" spans="1:10" s="57" customFormat="1" x14ac:dyDescent="0.25">
      <c r="A86" s="199"/>
      <c r="B86" s="199"/>
      <c r="C86" s="199"/>
      <c r="D86" s="199"/>
      <c r="E86" s="199"/>
      <c r="F86" s="199"/>
      <c r="G86" s="199"/>
      <c r="H86" s="199"/>
      <c r="I86" s="199"/>
    </row>
    <row r="87" spans="1:10" s="57" customFormat="1" x14ac:dyDescent="0.25">
      <c r="A87" s="199"/>
      <c r="B87" s="199"/>
      <c r="C87" s="199"/>
      <c r="D87" s="199"/>
      <c r="E87" s="199"/>
      <c r="F87" s="199"/>
      <c r="G87" s="199"/>
      <c r="H87" s="199"/>
      <c r="I87" s="199"/>
    </row>
    <row r="88" spans="1:10" s="57" customFormat="1" x14ac:dyDescent="0.25">
      <c r="A88" s="199"/>
      <c r="B88" s="199"/>
      <c r="C88" s="199"/>
      <c r="D88" s="199"/>
      <c r="E88" s="199"/>
      <c r="F88" s="199"/>
      <c r="G88" s="199"/>
      <c r="H88" s="199"/>
      <c r="I88" s="199"/>
    </row>
    <row r="89" spans="1:10" s="57" customFormat="1" x14ac:dyDescent="0.25">
      <c r="A89" s="199"/>
      <c r="B89" s="199"/>
      <c r="C89" s="199"/>
      <c r="D89" s="199"/>
      <c r="E89" s="199"/>
      <c r="F89" s="199"/>
      <c r="G89" s="199"/>
      <c r="H89" s="199"/>
      <c r="I89" s="199"/>
    </row>
    <row r="90" spans="1:10" s="57" customFormat="1" x14ac:dyDescent="0.25">
      <c r="A90" s="199"/>
      <c r="B90" s="199"/>
      <c r="C90" s="199"/>
      <c r="D90" s="199"/>
      <c r="E90" s="199"/>
      <c r="F90" s="199"/>
      <c r="G90" s="199"/>
      <c r="H90" s="199"/>
      <c r="I90" s="199"/>
    </row>
    <row r="91" spans="1:10" s="57" customFormat="1" x14ac:dyDescent="0.25">
      <c r="A91" s="199"/>
      <c r="B91" s="199"/>
      <c r="C91" s="199"/>
      <c r="D91" s="199"/>
      <c r="E91" s="199"/>
      <c r="F91" s="199"/>
      <c r="G91" s="199"/>
      <c r="H91" s="199"/>
      <c r="I91" s="199"/>
    </row>
    <row r="92" spans="1:10" s="57" customFormat="1" x14ac:dyDescent="0.25">
      <c r="A92" s="199"/>
      <c r="B92" s="199"/>
      <c r="C92" s="199"/>
      <c r="D92" s="199"/>
      <c r="E92" s="199"/>
      <c r="F92" s="199"/>
      <c r="G92" s="199"/>
      <c r="H92" s="199"/>
      <c r="I92" s="199"/>
    </row>
    <row r="93" spans="1:10" s="57" customFormat="1" x14ac:dyDescent="0.25">
      <c r="A93" s="199"/>
      <c r="B93" s="199"/>
      <c r="C93" s="199"/>
      <c r="D93" s="199"/>
      <c r="E93" s="199"/>
      <c r="F93" s="199"/>
      <c r="G93" s="199"/>
      <c r="H93" s="199"/>
      <c r="I93" s="199"/>
    </row>
    <row r="94" spans="1:10" s="57" customFormat="1" x14ac:dyDescent="0.25">
      <c r="A94" s="199"/>
      <c r="B94" s="199"/>
      <c r="C94" s="199"/>
      <c r="D94" s="199"/>
      <c r="E94" s="199"/>
      <c r="F94" s="199"/>
      <c r="G94" s="199"/>
      <c r="H94" s="199"/>
      <c r="I94" s="199"/>
    </row>
    <row r="95" spans="1:10" s="57" customFormat="1" x14ac:dyDescent="0.25">
      <c r="A95" s="199"/>
      <c r="B95" s="199"/>
      <c r="C95" s="199"/>
      <c r="D95" s="199"/>
      <c r="E95" s="199"/>
      <c r="F95" s="199"/>
      <c r="G95" s="199"/>
      <c r="H95" s="199"/>
      <c r="I95" s="199"/>
    </row>
    <row r="96" spans="1:10" s="57" customFormat="1" x14ac:dyDescent="0.25">
      <c r="A96" s="199"/>
      <c r="B96" s="199"/>
      <c r="C96" s="199"/>
      <c r="D96" s="199"/>
      <c r="E96" s="199"/>
      <c r="F96" s="199"/>
      <c r="G96" s="199"/>
      <c r="H96" s="199"/>
      <c r="I96" s="199"/>
    </row>
    <row r="97" spans="1:9" s="57" customFormat="1" x14ac:dyDescent="0.25">
      <c r="A97" s="199"/>
      <c r="B97" s="199"/>
      <c r="C97" s="199"/>
      <c r="D97" s="199"/>
      <c r="E97" s="199"/>
      <c r="F97" s="199"/>
      <c r="G97" s="199"/>
      <c r="H97" s="199"/>
      <c r="I97" s="199"/>
    </row>
    <row r="98" spans="1:9" s="57" customFormat="1" x14ac:dyDescent="0.25">
      <c r="A98" s="199"/>
      <c r="B98" s="199"/>
      <c r="C98" s="199"/>
      <c r="D98" s="199"/>
      <c r="E98" s="199"/>
      <c r="F98" s="199"/>
      <c r="G98" s="199"/>
      <c r="H98" s="199"/>
      <c r="I98" s="199"/>
    </row>
    <row r="99" spans="1:9" s="57" customFormat="1" x14ac:dyDescent="0.25">
      <c r="A99" s="199"/>
      <c r="B99" s="199"/>
      <c r="C99" s="199"/>
      <c r="D99" s="199"/>
      <c r="E99" s="199"/>
      <c r="F99" s="199"/>
      <c r="G99" s="199"/>
      <c r="H99" s="199"/>
      <c r="I99" s="199"/>
    </row>
    <row r="100" spans="1:9" s="57" customFormat="1" x14ac:dyDescent="0.25">
      <c r="A100" s="199"/>
      <c r="B100" s="199"/>
      <c r="C100" s="199"/>
      <c r="D100" s="199"/>
      <c r="E100" s="199"/>
      <c r="F100" s="199"/>
      <c r="G100" s="199"/>
      <c r="H100" s="199"/>
      <c r="I100" s="199"/>
    </row>
    <row r="101" spans="1:9" s="57" customFormat="1" x14ac:dyDescent="0.25">
      <c r="A101" s="199"/>
      <c r="B101" s="199"/>
      <c r="C101" s="199"/>
      <c r="D101" s="199"/>
      <c r="E101" s="199"/>
      <c r="F101" s="199"/>
      <c r="G101" s="199"/>
      <c r="H101" s="199"/>
      <c r="I101" s="199"/>
    </row>
    <row r="102" spans="1:9" s="57" customFormat="1" x14ac:dyDescent="0.25">
      <c r="A102" s="199"/>
      <c r="B102" s="199"/>
      <c r="C102" s="199"/>
      <c r="D102" s="199"/>
      <c r="E102" s="199"/>
      <c r="F102" s="199"/>
      <c r="G102" s="199"/>
      <c r="H102" s="199"/>
      <c r="I102" s="199"/>
    </row>
    <row r="103" spans="1:9" s="57" customFormat="1" x14ac:dyDescent="0.25">
      <c r="A103" s="199"/>
      <c r="B103" s="199"/>
      <c r="C103" s="199"/>
      <c r="D103" s="199"/>
      <c r="E103" s="199"/>
      <c r="F103" s="199"/>
      <c r="G103" s="199"/>
      <c r="H103" s="199"/>
      <c r="I103" s="199"/>
    </row>
    <row r="104" spans="1:9" s="57" customFormat="1" x14ac:dyDescent="0.25">
      <c r="A104" s="199"/>
      <c r="B104" s="199"/>
      <c r="C104" s="199"/>
      <c r="D104" s="199"/>
      <c r="E104" s="199"/>
      <c r="F104" s="199"/>
      <c r="G104" s="199"/>
      <c r="H104" s="199"/>
      <c r="I104" s="199"/>
    </row>
    <row r="105" spans="1:9" s="57" customFormat="1" x14ac:dyDescent="0.25">
      <c r="A105" s="199"/>
      <c r="B105" s="199"/>
      <c r="C105" s="199"/>
      <c r="D105" s="199"/>
      <c r="E105" s="199"/>
      <c r="F105" s="199"/>
      <c r="G105" s="199"/>
      <c r="H105" s="199"/>
      <c r="I105" s="199"/>
    </row>
    <row r="106" spans="1:9" s="57" customFormat="1" x14ac:dyDescent="0.25">
      <c r="A106" s="199"/>
      <c r="B106" s="199"/>
      <c r="C106" s="199"/>
      <c r="D106" s="199"/>
      <c r="E106" s="199"/>
      <c r="F106" s="199"/>
      <c r="G106" s="199"/>
      <c r="H106" s="199"/>
      <c r="I106" s="199"/>
    </row>
    <row r="107" spans="1:9" s="57" customFormat="1" x14ac:dyDescent="0.25">
      <c r="A107" s="199"/>
      <c r="B107" s="199"/>
      <c r="C107" s="199"/>
      <c r="D107" s="199"/>
      <c r="E107" s="199"/>
      <c r="F107" s="199"/>
      <c r="G107" s="199"/>
      <c r="H107" s="199"/>
      <c r="I107" s="199"/>
    </row>
    <row r="108" spans="1:9" s="57" customFormat="1" x14ac:dyDescent="0.25">
      <c r="A108" s="199"/>
      <c r="B108" s="199"/>
      <c r="C108" s="199"/>
      <c r="D108" s="199"/>
      <c r="E108" s="199"/>
      <c r="F108" s="199"/>
      <c r="G108" s="199"/>
      <c r="H108" s="199"/>
      <c r="I108" s="199"/>
    </row>
    <row r="109" spans="1:9" s="57" customFormat="1" x14ac:dyDescent="0.25">
      <c r="A109" s="199"/>
      <c r="B109" s="199"/>
      <c r="C109" s="199"/>
      <c r="D109" s="199"/>
      <c r="E109" s="199"/>
      <c r="F109" s="199"/>
      <c r="G109" s="199"/>
      <c r="H109" s="199"/>
      <c r="I109" s="199"/>
    </row>
    <row r="110" spans="1:9" s="57" customFormat="1" x14ac:dyDescent="0.25">
      <c r="A110" s="199"/>
      <c r="B110" s="199"/>
      <c r="C110" s="199"/>
      <c r="D110" s="199"/>
      <c r="E110" s="199"/>
      <c r="F110" s="199"/>
      <c r="G110" s="199"/>
      <c r="H110" s="199"/>
      <c r="I110" s="199"/>
    </row>
    <row r="111" spans="1:9" s="57" customFormat="1" x14ac:dyDescent="0.25">
      <c r="A111" s="199"/>
      <c r="B111" s="199"/>
      <c r="C111" s="199"/>
      <c r="D111" s="199"/>
      <c r="E111" s="199"/>
      <c r="F111" s="199"/>
      <c r="G111" s="199"/>
      <c r="H111" s="199"/>
      <c r="I111" s="199"/>
    </row>
    <row r="112" spans="1:9" s="57" customFormat="1" x14ac:dyDescent="0.25">
      <c r="A112" s="199"/>
      <c r="B112" s="199"/>
      <c r="C112" s="199"/>
      <c r="D112" s="199"/>
      <c r="E112" s="199"/>
      <c r="F112" s="199"/>
      <c r="G112" s="199"/>
      <c r="H112" s="199"/>
      <c r="I112" s="199"/>
    </row>
    <row r="113" spans="1:9" s="57" customFormat="1" x14ac:dyDescent="0.25">
      <c r="A113" s="199"/>
      <c r="B113" s="199"/>
      <c r="C113" s="199"/>
      <c r="D113" s="199"/>
      <c r="E113" s="199"/>
      <c r="F113" s="199"/>
      <c r="G113" s="199"/>
      <c r="H113" s="199"/>
      <c r="I113" s="199"/>
    </row>
    <row r="114" spans="1:9" s="57" customFormat="1" x14ac:dyDescent="0.25">
      <c r="A114" s="199"/>
      <c r="B114" s="199"/>
      <c r="C114" s="199"/>
      <c r="D114" s="199"/>
      <c r="E114" s="199"/>
      <c r="F114" s="199"/>
      <c r="G114" s="199"/>
      <c r="H114" s="199"/>
      <c r="I114" s="199"/>
    </row>
    <row r="115" spans="1:9" s="57" customFormat="1" x14ac:dyDescent="0.25">
      <c r="A115" s="199"/>
      <c r="B115" s="199"/>
      <c r="C115" s="199"/>
      <c r="D115" s="199"/>
      <c r="E115" s="199"/>
      <c r="F115" s="199"/>
      <c r="G115" s="199"/>
      <c r="H115" s="199"/>
      <c r="I115" s="199"/>
    </row>
    <row r="116" spans="1:9" s="57" customFormat="1" x14ac:dyDescent="0.25">
      <c r="A116" s="199"/>
      <c r="B116" s="199"/>
      <c r="C116" s="199"/>
      <c r="D116" s="199"/>
      <c r="E116" s="199"/>
      <c r="F116" s="199"/>
      <c r="G116" s="199"/>
      <c r="H116" s="199"/>
      <c r="I116" s="199"/>
    </row>
    <row r="117" spans="1:9" s="57" customFormat="1" x14ac:dyDescent="0.25">
      <c r="A117" s="199"/>
      <c r="B117" s="199"/>
      <c r="C117" s="199"/>
      <c r="D117" s="199"/>
      <c r="E117" s="199"/>
      <c r="F117" s="199"/>
      <c r="G117" s="199"/>
      <c r="H117" s="199"/>
      <c r="I117" s="199"/>
    </row>
    <row r="118" spans="1:9" s="57" customFormat="1" x14ac:dyDescent="0.25">
      <c r="A118" s="199"/>
      <c r="B118" s="199"/>
      <c r="C118" s="199"/>
      <c r="D118" s="199"/>
      <c r="E118" s="199"/>
      <c r="F118" s="199"/>
      <c r="G118" s="199"/>
      <c r="H118" s="199"/>
      <c r="I118" s="199"/>
    </row>
    <row r="119" spans="1:9" s="57" customFormat="1" x14ac:dyDescent="0.25">
      <c r="A119" s="199"/>
      <c r="B119" s="199"/>
      <c r="C119" s="199"/>
      <c r="D119" s="199"/>
      <c r="E119" s="199"/>
      <c r="F119" s="199"/>
      <c r="G119" s="199"/>
      <c r="H119" s="199"/>
      <c r="I119" s="199"/>
    </row>
    <row r="120" spans="1:9" s="57" customFormat="1" x14ac:dyDescent="0.25">
      <c r="A120" s="199"/>
      <c r="B120" s="199"/>
      <c r="C120" s="199"/>
      <c r="D120" s="199"/>
      <c r="E120" s="199"/>
      <c r="F120" s="199"/>
      <c r="G120" s="199"/>
      <c r="H120" s="199"/>
      <c r="I120" s="199"/>
    </row>
    <row r="121" spans="1:9" s="57" customFormat="1" x14ac:dyDescent="0.25">
      <c r="A121" s="199"/>
      <c r="B121" s="199"/>
      <c r="C121" s="199"/>
      <c r="D121" s="199"/>
      <c r="E121" s="199"/>
      <c r="F121" s="199"/>
      <c r="G121" s="199"/>
      <c r="H121" s="199"/>
      <c r="I121" s="199"/>
    </row>
    <row r="122" spans="1:9" s="57" customFormat="1" x14ac:dyDescent="0.25">
      <c r="A122" s="199"/>
      <c r="B122" s="199"/>
      <c r="C122" s="199"/>
      <c r="D122" s="199"/>
      <c r="E122" s="199"/>
      <c r="F122" s="199"/>
      <c r="G122" s="199"/>
      <c r="H122" s="199"/>
      <c r="I122" s="199"/>
    </row>
    <row r="123" spans="1:9" s="57" customFormat="1" x14ac:dyDescent="0.25">
      <c r="A123" s="199"/>
      <c r="B123" s="199"/>
      <c r="C123" s="199"/>
      <c r="D123" s="199"/>
      <c r="E123" s="199"/>
      <c r="F123" s="199"/>
      <c r="G123" s="199"/>
      <c r="H123" s="199"/>
      <c r="I123" s="199"/>
    </row>
    <row r="124" spans="1:9" s="57" customFormat="1" x14ac:dyDescent="0.25">
      <c r="A124" s="199"/>
      <c r="B124" s="199"/>
      <c r="C124" s="199"/>
      <c r="D124" s="199"/>
      <c r="E124" s="199"/>
      <c r="F124" s="199"/>
      <c r="G124" s="199"/>
      <c r="H124" s="199"/>
      <c r="I124" s="199"/>
    </row>
    <row r="125" spans="1:9" s="57" customFormat="1" x14ac:dyDescent="0.25">
      <c r="A125" s="199"/>
      <c r="B125" s="199"/>
      <c r="C125" s="199"/>
      <c r="D125" s="199"/>
      <c r="E125" s="199"/>
      <c r="F125" s="199"/>
      <c r="G125" s="199"/>
      <c r="H125" s="199"/>
      <c r="I125" s="199"/>
    </row>
    <row r="126" spans="1:9" s="57" customFormat="1" x14ac:dyDescent="0.25">
      <c r="A126" s="199"/>
      <c r="B126" s="199"/>
      <c r="C126" s="199"/>
      <c r="D126" s="199"/>
      <c r="E126" s="199"/>
      <c r="F126" s="199"/>
      <c r="G126" s="199"/>
      <c r="H126" s="199"/>
      <c r="I126" s="199"/>
    </row>
    <row r="127" spans="1:9" s="57" customFormat="1" x14ac:dyDescent="0.25">
      <c r="A127" s="199"/>
      <c r="B127" s="199"/>
      <c r="C127" s="199"/>
      <c r="D127" s="199"/>
      <c r="E127" s="199"/>
      <c r="F127" s="199"/>
      <c r="G127" s="199"/>
      <c r="H127" s="199"/>
      <c r="I127" s="199"/>
    </row>
    <row r="128" spans="1:9" s="57" customFormat="1" x14ac:dyDescent="0.25">
      <c r="A128" s="199"/>
      <c r="B128" s="199"/>
      <c r="C128" s="199"/>
      <c r="D128" s="199"/>
      <c r="E128" s="199"/>
      <c r="F128" s="199"/>
      <c r="G128" s="199"/>
      <c r="H128" s="199"/>
      <c r="I128" s="199"/>
    </row>
    <row r="129" spans="1:9" s="57" customFormat="1" x14ac:dyDescent="0.25">
      <c r="A129" s="199"/>
      <c r="B129" s="199"/>
      <c r="C129" s="199"/>
      <c r="D129" s="199"/>
      <c r="E129" s="199"/>
      <c r="F129" s="199"/>
      <c r="G129" s="199"/>
      <c r="H129" s="199"/>
      <c r="I129" s="199"/>
    </row>
    <row r="130" spans="1:9" s="57" customFormat="1" x14ac:dyDescent="0.25">
      <c r="A130" s="199"/>
      <c r="B130" s="199"/>
      <c r="C130" s="199"/>
      <c r="D130" s="199"/>
      <c r="E130" s="199"/>
      <c r="F130" s="199"/>
      <c r="G130" s="199"/>
      <c r="H130" s="199"/>
      <c r="I130" s="199"/>
    </row>
    <row r="131" spans="1:9" s="57" customFormat="1" x14ac:dyDescent="0.25">
      <c r="A131" s="199"/>
      <c r="B131" s="199"/>
      <c r="C131" s="199"/>
      <c r="D131" s="199"/>
      <c r="E131" s="199"/>
      <c r="F131" s="199"/>
      <c r="G131" s="199"/>
      <c r="H131" s="199"/>
      <c r="I131" s="199"/>
    </row>
    <row r="132" spans="1:9" s="57" customFormat="1" x14ac:dyDescent="0.25">
      <c r="A132" s="199"/>
      <c r="B132" s="199"/>
      <c r="C132" s="199"/>
      <c r="D132" s="199"/>
      <c r="E132" s="199"/>
      <c r="F132" s="199"/>
      <c r="G132" s="199"/>
      <c r="H132" s="199"/>
      <c r="I132" s="199"/>
    </row>
    <row r="133" spans="1:9" s="57" customFormat="1" x14ac:dyDescent="0.25">
      <c r="A133" s="199"/>
      <c r="B133" s="199"/>
      <c r="C133" s="199"/>
      <c r="D133" s="199"/>
      <c r="E133" s="199"/>
      <c r="F133" s="199"/>
      <c r="G133" s="199"/>
      <c r="H133" s="199"/>
      <c r="I133" s="199"/>
    </row>
    <row r="134" spans="1:9" s="57" customFormat="1" x14ac:dyDescent="0.25">
      <c r="A134" s="199"/>
      <c r="B134" s="199"/>
      <c r="C134" s="199"/>
      <c r="D134" s="199"/>
      <c r="E134" s="199"/>
      <c r="F134" s="199"/>
      <c r="G134" s="199"/>
      <c r="H134" s="199"/>
      <c r="I134" s="199"/>
    </row>
    <row r="135" spans="1:9" s="57" customFormat="1" x14ac:dyDescent="0.25">
      <c r="A135" s="199"/>
      <c r="B135" s="199"/>
      <c r="C135" s="199"/>
      <c r="D135" s="199"/>
      <c r="E135" s="199"/>
      <c r="F135" s="199"/>
      <c r="G135" s="199"/>
      <c r="H135" s="199"/>
      <c r="I135" s="199"/>
    </row>
    <row r="136" spans="1:9" s="57" customFormat="1" x14ac:dyDescent="0.25">
      <c r="A136" s="199"/>
      <c r="B136" s="199"/>
      <c r="C136" s="199"/>
      <c r="D136" s="199"/>
      <c r="E136" s="199"/>
      <c r="F136" s="199"/>
      <c r="G136" s="199"/>
      <c r="H136" s="199"/>
      <c r="I136" s="199"/>
    </row>
    <row r="137" spans="1:9" s="57" customFormat="1" x14ac:dyDescent="0.25">
      <c r="A137" s="199"/>
      <c r="B137" s="199"/>
      <c r="C137" s="199"/>
      <c r="D137" s="199"/>
      <c r="E137" s="199"/>
      <c r="F137" s="199"/>
      <c r="G137" s="199"/>
      <c r="H137" s="199"/>
      <c r="I137" s="199"/>
    </row>
    <row r="138" spans="1:9" s="57" customFormat="1" x14ac:dyDescent="0.25">
      <c r="A138" s="199"/>
      <c r="B138" s="199"/>
      <c r="C138" s="199"/>
      <c r="D138" s="199"/>
      <c r="E138" s="199"/>
      <c r="F138" s="199"/>
      <c r="G138" s="199"/>
      <c r="H138" s="199"/>
      <c r="I138" s="199"/>
    </row>
    <row r="139" spans="1:9" s="57" customFormat="1" x14ac:dyDescent="0.25">
      <c r="A139" s="199"/>
      <c r="B139" s="199"/>
      <c r="C139" s="199"/>
      <c r="D139" s="199"/>
      <c r="E139" s="199"/>
      <c r="F139" s="199"/>
      <c r="G139" s="199"/>
      <c r="H139" s="199"/>
      <c r="I139" s="199"/>
    </row>
    <row r="140" spans="1:9" s="57" customFormat="1" x14ac:dyDescent="0.25">
      <c r="A140" s="199"/>
      <c r="B140" s="199"/>
      <c r="C140" s="199"/>
      <c r="D140" s="199"/>
      <c r="E140" s="199"/>
      <c r="F140" s="199"/>
      <c r="G140" s="199"/>
      <c r="H140" s="199"/>
      <c r="I140" s="199"/>
    </row>
    <row r="141" spans="1:9" s="57" customFormat="1" x14ac:dyDescent="0.25">
      <c r="A141" s="199"/>
      <c r="B141" s="199"/>
      <c r="C141" s="199"/>
      <c r="D141" s="199"/>
      <c r="E141" s="199"/>
      <c r="F141" s="199"/>
      <c r="G141" s="199"/>
      <c r="H141" s="199"/>
      <c r="I141" s="199"/>
    </row>
    <row r="142" spans="1:9" s="57" customFormat="1" x14ac:dyDescent="0.25">
      <c r="A142" s="199"/>
      <c r="B142" s="199"/>
      <c r="C142" s="199"/>
      <c r="D142" s="199"/>
      <c r="E142" s="199"/>
      <c r="F142" s="199"/>
      <c r="G142" s="199"/>
      <c r="H142" s="199"/>
      <c r="I142" s="199"/>
    </row>
    <row r="143" spans="1:9" s="57" customFormat="1" x14ac:dyDescent="0.25">
      <c r="A143" s="199"/>
      <c r="B143" s="199"/>
      <c r="C143" s="199"/>
      <c r="D143" s="199"/>
      <c r="E143" s="199"/>
      <c r="F143" s="199"/>
      <c r="G143" s="199"/>
      <c r="H143" s="199"/>
      <c r="I143" s="199"/>
    </row>
    <row r="144" spans="1:9" s="57" customFormat="1" x14ac:dyDescent="0.25">
      <c r="A144" s="199"/>
      <c r="B144" s="199"/>
      <c r="C144" s="199"/>
      <c r="D144" s="199"/>
      <c r="E144" s="199"/>
      <c r="F144" s="199"/>
      <c r="G144" s="199"/>
      <c r="H144" s="199"/>
      <c r="I144" s="199"/>
    </row>
    <row r="145" spans="1:62" s="57" customFormat="1" x14ac:dyDescent="0.25">
      <c r="A145" s="199"/>
      <c r="B145" s="199"/>
      <c r="C145" s="199"/>
      <c r="D145" s="199"/>
      <c r="E145" s="199"/>
      <c r="F145" s="199"/>
      <c r="G145" s="199"/>
      <c r="H145" s="199"/>
      <c r="I145" s="199"/>
    </row>
    <row r="146" spans="1:62" x14ac:dyDescent="0.25">
      <c r="AS146" s="22"/>
      <c r="AT146" s="22"/>
      <c r="AU146" s="22"/>
      <c r="AV146" s="22"/>
      <c r="AW146" s="22"/>
      <c r="AX146" s="22"/>
      <c r="AY146" s="22"/>
      <c r="AZ146" s="22"/>
      <c r="BA146" s="22"/>
      <c r="BB146" s="22"/>
      <c r="BC146" s="22"/>
      <c r="BD146" s="22"/>
      <c r="BE146" s="22"/>
      <c r="BF146" s="22"/>
      <c r="BG146" s="22"/>
      <c r="BH146" s="22"/>
      <c r="BI146" s="22"/>
      <c r="BJ146" s="22"/>
    </row>
    <row r="147" spans="1:62" x14ac:dyDescent="0.25">
      <c r="AS147" s="22"/>
      <c r="AT147" s="22"/>
      <c r="AU147" s="22"/>
      <c r="AV147" s="22"/>
      <c r="AW147" s="22"/>
      <c r="AX147" s="22"/>
      <c r="AY147" s="22"/>
      <c r="AZ147" s="22"/>
      <c r="BA147" s="22"/>
      <c r="BB147" s="22"/>
      <c r="BC147" s="22"/>
      <c r="BD147" s="22"/>
      <c r="BE147" s="22"/>
      <c r="BF147" s="22"/>
      <c r="BG147" s="22"/>
      <c r="BH147" s="22"/>
      <c r="BI147" s="22"/>
      <c r="BJ147" s="22"/>
    </row>
    <row r="148" spans="1:62" x14ac:dyDescent="0.25">
      <c r="AS148" s="22"/>
      <c r="AT148" s="22"/>
      <c r="AU148" s="22"/>
      <c r="AV148" s="22"/>
      <c r="AW148" s="22"/>
      <c r="AX148" s="22"/>
      <c r="AY148" s="22"/>
      <c r="AZ148" s="22"/>
      <c r="BA148" s="22"/>
      <c r="BB148" s="22"/>
      <c r="BC148" s="22"/>
      <c r="BD148" s="22"/>
      <c r="BE148" s="22"/>
      <c r="BF148" s="22"/>
      <c r="BG148" s="22"/>
      <c r="BH148" s="22"/>
      <c r="BI148" s="22"/>
      <c r="BJ148" s="22"/>
    </row>
    <row r="149" spans="1:62" x14ac:dyDescent="0.25">
      <c r="AS149" s="22"/>
      <c r="AT149" s="22"/>
      <c r="AU149" s="22"/>
      <c r="AV149" s="22"/>
      <c r="AW149" s="22"/>
      <c r="AX149" s="22"/>
      <c r="AY149" s="22"/>
      <c r="AZ149" s="22"/>
      <c r="BA149" s="22"/>
      <c r="BB149" s="22"/>
      <c r="BC149" s="22"/>
      <c r="BD149" s="22"/>
      <c r="BE149" s="22"/>
      <c r="BF149" s="22"/>
      <c r="BG149" s="22"/>
      <c r="BH149" s="22"/>
      <c r="BI149" s="22"/>
      <c r="BJ149" s="22"/>
    </row>
    <row r="150" spans="1:62" x14ac:dyDescent="0.25">
      <c r="AS150" s="22"/>
      <c r="AT150" s="22"/>
      <c r="AU150" s="22"/>
      <c r="AV150" s="22"/>
      <c r="AW150" s="22"/>
      <c r="AX150" s="22"/>
      <c r="AY150" s="22"/>
      <c r="AZ150" s="22"/>
      <c r="BA150" s="22"/>
      <c r="BB150" s="22"/>
      <c r="BC150" s="22"/>
      <c r="BD150" s="22"/>
      <c r="BE150" s="22"/>
      <c r="BF150" s="22"/>
      <c r="BG150" s="22"/>
      <c r="BH150" s="22"/>
      <c r="BI150" s="22"/>
      <c r="BJ150" s="22"/>
    </row>
    <row r="151" spans="1:62" x14ac:dyDescent="0.25">
      <c r="AS151" s="22"/>
      <c r="AT151" s="22"/>
      <c r="AU151" s="22"/>
      <c r="AV151" s="22"/>
      <c r="AW151" s="22"/>
      <c r="AX151" s="22"/>
      <c r="AY151" s="22"/>
      <c r="AZ151" s="22"/>
      <c r="BA151" s="22"/>
      <c r="BB151" s="22"/>
      <c r="BC151" s="22"/>
      <c r="BD151" s="22"/>
      <c r="BE151" s="22"/>
      <c r="BF151" s="22"/>
      <c r="BG151" s="22"/>
      <c r="BH151" s="22"/>
      <c r="BI151" s="22"/>
      <c r="BJ151" s="22"/>
    </row>
    <row r="152" spans="1:62" x14ac:dyDescent="0.25">
      <c r="AS152" s="22"/>
      <c r="AT152" s="22"/>
      <c r="AU152" s="22"/>
      <c r="AV152" s="22"/>
      <c r="AW152" s="22"/>
      <c r="AX152" s="22"/>
      <c r="AY152" s="22"/>
      <c r="AZ152" s="22"/>
      <c r="BA152" s="22"/>
      <c r="BB152" s="22"/>
      <c r="BC152" s="22"/>
      <c r="BD152" s="22"/>
      <c r="BE152" s="22"/>
      <c r="BF152" s="22"/>
      <c r="BG152" s="22"/>
      <c r="BH152" s="22"/>
      <c r="BI152" s="22"/>
      <c r="BJ152" s="22"/>
    </row>
    <row r="153" spans="1:62" x14ac:dyDescent="0.25">
      <c r="AS153" s="22"/>
      <c r="AT153" s="22"/>
      <c r="AU153" s="22"/>
      <c r="AV153" s="22"/>
      <c r="AW153" s="22"/>
      <c r="AX153" s="22"/>
      <c r="AY153" s="22"/>
      <c r="AZ153" s="22"/>
      <c r="BA153" s="22"/>
      <c r="BB153" s="22"/>
      <c r="BC153" s="22"/>
      <c r="BD153" s="22"/>
      <c r="BE153" s="22"/>
      <c r="BF153" s="22"/>
      <c r="BG153" s="22"/>
      <c r="BH153" s="22"/>
      <c r="BI153" s="22"/>
      <c r="BJ153" s="22"/>
    </row>
    <row r="154" spans="1:62" x14ac:dyDescent="0.25">
      <c r="AS154" s="22"/>
      <c r="AT154" s="22"/>
      <c r="AU154" s="22"/>
      <c r="AV154" s="22"/>
      <c r="AW154" s="22"/>
      <c r="AX154" s="22"/>
      <c r="AY154" s="22"/>
      <c r="AZ154" s="22"/>
      <c r="BA154" s="22"/>
      <c r="BB154" s="22"/>
      <c r="BC154" s="22"/>
      <c r="BD154" s="22"/>
      <c r="BE154" s="22"/>
      <c r="BF154" s="22"/>
      <c r="BG154" s="22"/>
      <c r="BH154" s="22"/>
      <c r="BI154" s="22"/>
      <c r="BJ154" s="22"/>
    </row>
    <row r="155" spans="1:62" x14ac:dyDescent="0.25">
      <c r="AS155" s="22"/>
      <c r="AT155" s="22"/>
      <c r="AU155" s="22"/>
      <c r="AV155" s="22"/>
      <c r="AW155" s="22"/>
      <c r="AX155" s="22"/>
      <c r="AY155" s="22"/>
      <c r="AZ155" s="22"/>
      <c r="BA155" s="22"/>
      <c r="BB155" s="22"/>
      <c r="BC155" s="22"/>
      <c r="BD155" s="22"/>
      <c r="BE155" s="22"/>
      <c r="BF155" s="22"/>
      <c r="BG155" s="22"/>
      <c r="BH155" s="22"/>
      <c r="BI155" s="22"/>
      <c r="BJ155" s="22"/>
    </row>
    <row r="156" spans="1:62" x14ac:dyDescent="0.25">
      <c r="AS156" s="22"/>
      <c r="AT156" s="22"/>
      <c r="AU156" s="22"/>
      <c r="AV156" s="22"/>
      <c r="AW156" s="22"/>
      <c r="AX156" s="22"/>
      <c r="AY156" s="22"/>
      <c r="AZ156" s="22"/>
      <c r="BA156" s="22"/>
      <c r="BB156" s="22"/>
      <c r="BC156" s="22"/>
      <c r="BD156" s="22"/>
      <c r="BE156" s="22"/>
      <c r="BF156" s="22"/>
      <c r="BG156" s="22"/>
      <c r="BH156" s="22"/>
      <c r="BI156" s="22"/>
      <c r="BJ156" s="22"/>
    </row>
    <row r="157" spans="1:62" x14ac:dyDescent="0.25">
      <c r="AS157" s="22"/>
      <c r="AT157" s="22"/>
      <c r="AU157" s="22"/>
      <c r="AV157" s="22"/>
      <c r="AW157" s="22"/>
      <c r="AX157" s="22"/>
      <c r="AY157" s="22"/>
      <c r="AZ157" s="22"/>
      <c r="BA157" s="22"/>
      <c r="BB157" s="22"/>
      <c r="BC157" s="22"/>
      <c r="BD157" s="22"/>
      <c r="BE157" s="22"/>
      <c r="BF157" s="22"/>
      <c r="BG157" s="22"/>
      <c r="BH157" s="22"/>
      <c r="BI157" s="22"/>
      <c r="BJ157" s="22"/>
    </row>
    <row r="158" spans="1:62" x14ac:dyDescent="0.25">
      <c r="AS158" s="22"/>
      <c r="AT158" s="22"/>
      <c r="AU158" s="22"/>
      <c r="AV158" s="22"/>
      <c r="AW158" s="22"/>
      <c r="AX158" s="22"/>
      <c r="AY158" s="22"/>
      <c r="AZ158" s="22"/>
      <c r="BA158" s="22"/>
      <c r="BB158" s="22"/>
      <c r="BC158" s="22"/>
      <c r="BD158" s="22"/>
      <c r="BE158" s="22"/>
      <c r="BF158" s="22"/>
      <c r="BG158" s="22"/>
      <c r="BH158" s="22"/>
      <c r="BI158" s="22"/>
      <c r="BJ158" s="22"/>
    </row>
    <row r="159" spans="1:62" x14ac:dyDescent="0.25">
      <c r="AS159" s="22"/>
      <c r="AT159" s="22"/>
      <c r="AU159" s="22"/>
      <c r="AV159" s="22"/>
      <c r="AW159" s="22"/>
      <c r="AX159" s="22"/>
      <c r="AY159" s="22"/>
      <c r="AZ159" s="22"/>
      <c r="BA159" s="22"/>
      <c r="BB159" s="22"/>
      <c r="BC159" s="22"/>
      <c r="BD159" s="22"/>
      <c r="BE159" s="22"/>
      <c r="BF159" s="22"/>
      <c r="BG159" s="22"/>
      <c r="BH159" s="22"/>
      <c r="BI159" s="22"/>
      <c r="BJ159" s="22"/>
    </row>
    <row r="160" spans="1:62" x14ac:dyDescent="0.25">
      <c r="AS160" s="22"/>
      <c r="AT160" s="22"/>
      <c r="AU160" s="22"/>
      <c r="AV160" s="22"/>
      <c r="AW160" s="22"/>
      <c r="AX160" s="22"/>
      <c r="AY160" s="22"/>
      <c r="AZ160" s="22"/>
      <c r="BA160" s="22"/>
      <c r="BB160" s="22"/>
      <c r="BC160" s="22"/>
      <c r="BD160" s="22"/>
      <c r="BE160" s="22"/>
      <c r="BF160" s="22"/>
      <c r="BG160" s="22"/>
      <c r="BH160" s="22"/>
      <c r="BI160" s="22"/>
      <c r="BJ160" s="22"/>
    </row>
    <row r="161" spans="45:62" x14ac:dyDescent="0.25">
      <c r="AS161" s="22"/>
      <c r="AT161" s="22"/>
      <c r="AU161" s="22"/>
      <c r="AV161" s="22"/>
      <c r="AW161" s="22"/>
      <c r="AX161" s="22"/>
      <c r="AY161" s="22"/>
      <c r="AZ161" s="22"/>
      <c r="BA161" s="22"/>
      <c r="BB161" s="22"/>
      <c r="BC161" s="22"/>
      <c r="BD161" s="22"/>
      <c r="BE161" s="22"/>
      <c r="BF161" s="22"/>
      <c r="BG161" s="22"/>
      <c r="BH161" s="22"/>
      <c r="BI161" s="22"/>
      <c r="BJ161" s="22"/>
    </row>
    <row r="162" spans="45:62" x14ac:dyDescent="0.25">
      <c r="AS162" s="22"/>
      <c r="AT162" s="22"/>
      <c r="AU162" s="22"/>
      <c r="AV162" s="22"/>
      <c r="AW162" s="22"/>
      <c r="AX162" s="22"/>
      <c r="AY162" s="22"/>
      <c r="AZ162" s="22"/>
      <c r="BA162" s="22"/>
      <c r="BB162" s="22"/>
      <c r="BC162" s="22"/>
      <c r="BD162" s="22"/>
      <c r="BE162" s="22"/>
      <c r="BF162" s="22"/>
      <c r="BG162" s="22"/>
      <c r="BH162" s="22"/>
      <c r="BI162" s="22"/>
      <c r="BJ162" s="22"/>
    </row>
    <row r="163" spans="45:62" x14ac:dyDescent="0.25">
      <c r="AS163" s="22"/>
      <c r="AT163" s="22"/>
      <c r="AU163" s="22"/>
      <c r="AV163" s="22"/>
      <c r="AW163" s="22"/>
      <c r="AX163" s="22"/>
      <c r="AY163" s="22"/>
      <c r="AZ163" s="22"/>
      <c r="BA163" s="22"/>
      <c r="BB163" s="22"/>
      <c r="BC163" s="22"/>
      <c r="BD163" s="22"/>
      <c r="BE163" s="22"/>
      <c r="BF163" s="22"/>
      <c r="BG163" s="22"/>
      <c r="BH163" s="22"/>
      <c r="BI163" s="22"/>
      <c r="BJ163" s="22"/>
    </row>
    <row r="164" spans="45:62" x14ac:dyDescent="0.25">
      <c r="AS164" s="22"/>
      <c r="AT164" s="22"/>
      <c r="AU164" s="22"/>
      <c r="AV164" s="22"/>
      <c r="AW164" s="22"/>
      <c r="AX164" s="22"/>
      <c r="AY164" s="22"/>
      <c r="AZ164" s="22"/>
      <c r="BA164" s="22"/>
      <c r="BB164" s="22"/>
      <c r="BC164" s="22"/>
      <c r="BD164" s="22"/>
      <c r="BE164" s="22"/>
      <c r="BF164" s="22"/>
      <c r="BG164" s="22"/>
      <c r="BH164" s="22"/>
      <c r="BI164" s="22"/>
      <c r="BJ164" s="22"/>
    </row>
    <row r="165" spans="45:62" x14ac:dyDescent="0.25">
      <c r="AS165" s="22"/>
      <c r="AT165" s="22"/>
      <c r="AU165" s="22"/>
      <c r="AV165" s="22"/>
      <c r="AW165" s="22"/>
      <c r="AX165" s="22"/>
      <c r="AY165" s="22"/>
      <c r="AZ165" s="22"/>
      <c r="BA165" s="22"/>
      <c r="BB165" s="22"/>
      <c r="BC165" s="22"/>
      <c r="BD165" s="22"/>
      <c r="BE165" s="22"/>
      <c r="BF165" s="22"/>
      <c r="BG165" s="22"/>
      <c r="BH165" s="22"/>
      <c r="BI165" s="22"/>
      <c r="BJ165" s="22"/>
    </row>
    <row r="166" spans="45:62" x14ac:dyDescent="0.25">
      <c r="AS166" s="22"/>
      <c r="AT166" s="22"/>
      <c r="AU166" s="22"/>
      <c r="AV166" s="22"/>
      <c r="AW166" s="22"/>
      <c r="AX166" s="22"/>
      <c r="AY166" s="22"/>
      <c r="AZ166" s="22"/>
      <c r="BA166" s="22"/>
      <c r="BB166" s="22"/>
      <c r="BC166" s="22"/>
      <c r="BD166" s="22"/>
      <c r="BE166" s="22"/>
      <c r="BF166" s="22"/>
      <c r="BG166" s="22"/>
      <c r="BH166" s="22"/>
      <c r="BI166" s="22"/>
      <c r="BJ166" s="22"/>
    </row>
    <row r="167" spans="45:62" x14ac:dyDescent="0.25">
      <c r="AS167" s="22"/>
      <c r="AT167" s="22"/>
      <c r="AU167" s="22"/>
      <c r="AV167" s="22"/>
      <c r="AW167" s="22"/>
      <c r="AX167" s="22"/>
      <c r="AY167" s="22"/>
      <c r="AZ167" s="22"/>
      <c r="BA167" s="22"/>
      <c r="BB167" s="22"/>
      <c r="BC167" s="22"/>
      <c r="BD167" s="22"/>
      <c r="BE167" s="22"/>
      <c r="BF167" s="22"/>
      <c r="BG167" s="22"/>
      <c r="BH167" s="22"/>
      <c r="BI167" s="22"/>
      <c r="BJ167" s="22"/>
    </row>
    <row r="168" spans="45:62" x14ac:dyDescent="0.25">
      <c r="AS168" s="22"/>
      <c r="AT168" s="22"/>
      <c r="AU168" s="22"/>
      <c r="AV168" s="22"/>
      <c r="AW168" s="22"/>
      <c r="AX168" s="22"/>
      <c r="AY168" s="22"/>
      <c r="AZ168" s="22"/>
      <c r="BA168" s="22"/>
      <c r="BB168" s="22"/>
      <c r="BC168" s="22"/>
      <c r="BD168" s="22"/>
      <c r="BE168" s="22"/>
      <c r="BF168" s="22"/>
      <c r="BG168" s="22"/>
      <c r="BH168" s="22"/>
      <c r="BI168" s="22"/>
      <c r="BJ168" s="22"/>
    </row>
    <row r="169" spans="45:62" x14ac:dyDescent="0.25">
      <c r="AS169" s="22"/>
      <c r="AT169" s="22"/>
      <c r="AU169" s="22"/>
      <c r="AV169" s="22"/>
      <c r="AW169" s="22"/>
      <c r="AX169" s="22"/>
      <c r="AY169" s="22"/>
      <c r="AZ169" s="22"/>
      <c r="BA169" s="22"/>
      <c r="BB169" s="22"/>
      <c r="BC169" s="22"/>
      <c r="BD169" s="22"/>
      <c r="BE169" s="22"/>
      <c r="BF169" s="22"/>
      <c r="BG169" s="22"/>
      <c r="BH169" s="22"/>
      <c r="BI169" s="22"/>
      <c r="BJ169" s="22"/>
    </row>
    <row r="170" spans="45:62" x14ac:dyDescent="0.25">
      <c r="AS170" s="22"/>
      <c r="AT170" s="22"/>
      <c r="AU170" s="22"/>
      <c r="AV170" s="22"/>
      <c r="AW170" s="22"/>
      <c r="AX170" s="22"/>
      <c r="AY170" s="22"/>
      <c r="AZ170" s="22"/>
      <c r="BA170" s="22"/>
      <c r="BB170" s="22"/>
      <c r="BC170" s="22"/>
      <c r="BD170" s="22"/>
      <c r="BE170" s="22"/>
      <c r="BF170" s="22"/>
      <c r="BG170" s="22"/>
      <c r="BH170" s="22"/>
      <c r="BI170" s="22"/>
      <c r="BJ170" s="22"/>
    </row>
    <row r="171" spans="45:62" x14ac:dyDescent="0.25">
      <c r="AS171" s="22"/>
      <c r="AT171" s="22"/>
      <c r="AU171" s="22"/>
      <c r="AV171" s="22"/>
      <c r="AW171" s="22"/>
      <c r="AX171" s="22"/>
      <c r="AY171" s="22"/>
      <c r="AZ171" s="22"/>
      <c r="BA171" s="22"/>
      <c r="BB171" s="22"/>
      <c r="BC171" s="22"/>
      <c r="BD171" s="22"/>
      <c r="BE171" s="22"/>
      <c r="BF171" s="22"/>
      <c r="BG171" s="22"/>
      <c r="BH171" s="22"/>
      <c r="BI171" s="22"/>
      <c r="BJ171" s="22"/>
    </row>
    <row r="172" spans="45:62" x14ac:dyDescent="0.25">
      <c r="AS172" s="22"/>
      <c r="AT172" s="22"/>
      <c r="AU172" s="22"/>
      <c r="AV172" s="22"/>
      <c r="AW172" s="22"/>
      <c r="AX172" s="22"/>
      <c r="AY172" s="22"/>
      <c r="AZ172" s="22"/>
      <c r="BA172" s="22"/>
      <c r="BB172" s="22"/>
      <c r="BC172" s="22"/>
      <c r="BD172" s="22"/>
      <c r="BE172" s="22"/>
      <c r="BF172" s="22"/>
      <c r="BG172" s="22"/>
      <c r="BH172" s="22"/>
      <c r="BI172" s="22"/>
      <c r="BJ172" s="22"/>
    </row>
    <row r="173" spans="45:62" x14ac:dyDescent="0.25">
      <c r="AS173" s="22"/>
      <c r="AT173" s="22"/>
      <c r="AU173" s="22"/>
      <c r="AV173" s="22"/>
      <c r="AW173" s="22"/>
      <c r="AX173" s="22"/>
      <c r="AY173" s="22"/>
      <c r="AZ173" s="22"/>
      <c r="BA173" s="22"/>
      <c r="BB173" s="22"/>
      <c r="BC173" s="22"/>
      <c r="BD173" s="22"/>
      <c r="BE173" s="22"/>
      <c r="BF173" s="22"/>
      <c r="BG173" s="22"/>
      <c r="BH173" s="22"/>
      <c r="BI173" s="22"/>
      <c r="BJ173" s="22"/>
    </row>
    <row r="174" spans="45:62" x14ac:dyDescent="0.25">
      <c r="AS174" s="22"/>
      <c r="AT174" s="22"/>
      <c r="AU174" s="22"/>
      <c r="AV174" s="22"/>
      <c r="AW174" s="22"/>
      <c r="AX174" s="22"/>
      <c r="AY174" s="22"/>
      <c r="AZ174" s="22"/>
      <c r="BA174" s="22"/>
      <c r="BB174" s="22"/>
      <c r="BC174" s="22"/>
      <c r="BD174" s="22"/>
      <c r="BE174" s="22"/>
      <c r="BF174" s="22"/>
      <c r="BG174" s="22"/>
      <c r="BH174" s="22"/>
      <c r="BI174" s="22"/>
      <c r="BJ174" s="22"/>
    </row>
    <row r="175" spans="45:62" x14ac:dyDescent="0.25">
      <c r="AS175" s="22"/>
      <c r="AT175" s="22"/>
      <c r="AU175" s="22"/>
      <c r="AV175" s="22"/>
      <c r="AW175" s="22"/>
      <c r="AX175" s="22"/>
      <c r="AY175" s="22"/>
      <c r="AZ175" s="22"/>
      <c r="BA175" s="22"/>
      <c r="BB175" s="22"/>
      <c r="BC175" s="22"/>
      <c r="BD175" s="22"/>
      <c r="BE175" s="22"/>
      <c r="BF175" s="22"/>
      <c r="BG175" s="22"/>
      <c r="BH175" s="22"/>
      <c r="BI175" s="22"/>
      <c r="BJ175" s="22"/>
    </row>
    <row r="176" spans="45:62" x14ac:dyDescent="0.25">
      <c r="AS176" s="22"/>
      <c r="AT176" s="22"/>
      <c r="AU176" s="22"/>
      <c r="AV176" s="22"/>
      <c r="AW176" s="22"/>
      <c r="AX176" s="22"/>
      <c r="AY176" s="22"/>
      <c r="AZ176" s="22"/>
      <c r="BA176" s="22"/>
      <c r="BB176" s="22"/>
      <c r="BC176" s="22"/>
      <c r="BD176" s="22"/>
      <c r="BE176" s="22"/>
      <c r="BF176" s="22"/>
      <c r="BG176" s="22"/>
      <c r="BH176" s="22"/>
      <c r="BI176" s="22"/>
      <c r="BJ176" s="22"/>
    </row>
    <row r="177" spans="45:62" x14ac:dyDescent="0.25">
      <c r="AS177" s="22"/>
      <c r="AT177" s="22"/>
      <c r="AU177" s="22"/>
      <c r="AV177" s="22"/>
      <c r="AW177" s="22"/>
      <c r="AX177" s="22"/>
      <c r="AY177" s="22"/>
      <c r="AZ177" s="22"/>
      <c r="BA177" s="22"/>
      <c r="BB177" s="22"/>
      <c r="BC177" s="22"/>
      <c r="BD177" s="22"/>
      <c r="BE177" s="22"/>
      <c r="BF177" s="22"/>
      <c r="BG177" s="22"/>
      <c r="BH177" s="22"/>
      <c r="BI177" s="22"/>
      <c r="BJ177" s="22"/>
    </row>
    <row r="178" spans="45:62" x14ac:dyDescent="0.25">
      <c r="AS178" s="22"/>
      <c r="AT178" s="22"/>
      <c r="AU178" s="22"/>
      <c r="AV178" s="22"/>
      <c r="AW178" s="22"/>
      <c r="AX178" s="22"/>
      <c r="AY178" s="22"/>
      <c r="AZ178" s="22"/>
      <c r="BA178" s="22"/>
      <c r="BB178" s="22"/>
      <c r="BC178" s="22"/>
      <c r="BD178" s="22"/>
      <c r="BE178" s="22"/>
      <c r="BF178" s="22"/>
      <c r="BG178" s="22"/>
      <c r="BH178" s="22"/>
      <c r="BI178" s="22"/>
      <c r="BJ178" s="22"/>
    </row>
    <row r="179" spans="45:62" x14ac:dyDescent="0.25">
      <c r="AS179" s="22"/>
      <c r="AT179" s="22"/>
      <c r="AU179" s="22"/>
      <c r="AV179" s="22"/>
      <c r="AW179" s="22"/>
      <c r="AX179" s="22"/>
      <c r="AY179" s="22"/>
      <c r="AZ179" s="22"/>
      <c r="BA179" s="22"/>
      <c r="BB179" s="22"/>
      <c r="BC179" s="22"/>
      <c r="BD179" s="22"/>
      <c r="BE179" s="22"/>
      <c r="BF179" s="22"/>
      <c r="BG179" s="22"/>
      <c r="BH179" s="22"/>
      <c r="BI179" s="22"/>
      <c r="BJ179" s="22"/>
    </row>
    <row r="180" spans="45:62" x14ac:dyDescent="0.25">
      <c r="AS180" s="22"/>
      <c r="AT180" s="22"/>
      <c r="AU180" s="22"/>
      <c r="AV180" s="22"/>
      <c r="AW180" s="22"/>
      <c r="AX180" s="22"/>
      <c r="AY180" s="22"/>
      <c r="AZ180" s="22"/>
      <c r="BA180" s="22"/>
      <c r="BB180" s="22"/>
      <c r="BC180" s="22"/>
      <c r="BD180" s="22"/>
      <c r="BE180" s="22"/>
      <c r="BF180" s="22"/>
      <c r="BG180" s="22"/>
      <c r="BH180" s="22"/>
      <c r="BI180" s="22"/>
      <c r="BJ180" s="22"/>
    </row>
    <row r="181" spans="45:62" x14ac:dyDescent="0.25">
      <c r="AS181" s="22"/>
      <c r="AT181" s="22"/>
      <c r="AU181" s="22"/>
      <c r="AV181" s="22"/>
      <c r="AW181" s="22"/>
      <c r="AX181" s="22"/>
      <c r="AY181" s="22"/>
      <c r="AZ181" s="22"/>
      <c r="BA181" s="22"/>
      <c r="BB181" s="22"/>
      <c r="BC181" s="22"/>
      <c r="BD181" s="22"/>
      <c r="BE181" s="22"/>
      <c r="BF181" s="22"/>
      <c r="BG181" s="22"/>
      <c r="BH181" s="22"/>
      <c r="BI181" s="22"/>
      <c r="BJ181" s="22"/>
    </row>
    <row r="182" spans="45:62" x14ac:dyDescent="0.25">
      <c r="AS182" s="22"/>
      <c r="AT182" s="22"/>
      <c r="AU182" s="22"/>
      <c r="AV182" s="22"/>
      <c r="AW182" s="22"/>
      <c r="AX182" s="22"/>
      <c r="AY182" s="22"/>
      <c r="AZ182" s="22"/>
      <c r="BA182" s="22"/>
      <c r="BB182" s="22"/>
      <c r="BC182" s="22"/>
      <c r="BD182" s="22"/>
      <c r="BE182" s="22"/>
      <c r="BF182" s="22"/>
      <c r="BG182" s="22"/>
      <c r="BH182" s="22"/>
      <c r="BI182" s="22"/>
      <c r="BJ182" s="22"/>
    </row>
    <row r="183" spans="45:62" x14ac:dyDescent="0.25">
      <c r="AS183" s="22"/>
      <c r="AT183" s="22"/>
      <c r="AU183" s="22"/>
      <c r="AV183" s="22"/>
      <c r="AW183" s="22"/>
      <c r="AX183" s="22"/>
      <c r="AY183" s="22"/>
      <c r="AZ183" s="22"/>
      <c r="BA183" s="22"/>
      <c r="BB183" s="22"/>
      <c r="BC183" s="22"/>
      <c r="BD183" s="22"/>
      <c r="BE183" s="22"/>
      <c r="BF183" s="22"/>
      <c r="BG183" s="22"/>
      <c r="BH183" s="22"/>
      <c r="BI183" s="22"/>
      <c r="BJ183" s="22"/>
    </row>
    <row r="184" spans="45:62" x14ac:dyDescent="0.25">
      <c r="AS184" s="22"/>
      <c r="AT184" s="22"/>
      <c r="AU184" s="22"/>
      <c r="AV184" s="22"/>
      <c r="AW184" s="22"/>
      <c r="AX184" s="22"/>
      <c r="AY184" s="22"/>
      <c r="AZ184" s="22"/>
      <c r="BA184" s="22"/>
      <c r="BB184" s="22"/>
      <c r="BC184" s="22"/>
      <c r="BD184" s="22"/>
      <c r="BE184" s="22"/>
      <c r="BF184" s="22"/>
      <c r="BG184" s="22"/>
      <c r="BH184" s="22"/>
      <c r="BI184" s="22"/>
      <c r="BJ184" s="22"/>
    </row>
    <row r="185" spans="45:62" x14ac:dyDescent="0.25">
      <c r="AS185" s="22"/>
      <c r="AT185" s="22"/>
      <c r="AU185" s="22"/>
      <c r="AV185" s="22"/>
      <c r="AW185" s="22"/>
      <c r="AX185" s="22"/>
      <c r="AY185" s="22"/>
      <c r="AZ185" s="22"/>
      <c r="BA185" s="22"/>
      <c r="BB185" s="22"/>
      <c r="BC185" s="22"/>
      <c r="BD185" s="22"/>
      <c r="BE185" s="22"/>
      <c r="BF185" s="22"/>
      <c r="BG185" s="22"/>
      <c r="BH185" s="22"/>
      <c r="BI185" s="22"/>
      <c r="BJ185" s="22"/>
    </row>
    <row r="186" spans="45:62" x14ac:dyDescent="0.25">
      <c r="AS186" s="22"/>
      <c r="AT186" s="22"/>
      <c r="AU186" s="22"/>
      <c r="AV186" s="22"/>
      <c r="AW186" s="22"/>
      <c r="AX186" s="22"/>
      <c r="AY186" s="22"/>
      <c r="AZ186" s="22"/>
      <c r="BA186" s="22"/>
      <c r="BB186" s="22"/>
      <c r="BC186" s="22"/>
      <c r="BD186" s="22"/>
      <c r="BE186" s="22"/>
      <c r="BF186" s="22"/>
      <c r="BG186" s="22"/>
      <c r="BH186" s="22"/>
      <c r="BI186" s="22"/>
      <c r="BJ186" s="22"/>
    </row>
    <row r="187" spans="45:62" x14ac:dyDescent="0.25">
      <c r="AS187" s="22"/>
      <c r="AT187" s="22"/>
      <c r="AU187" s="22"/>
      <c r="AV187" s="22"/>
      <c r="AW187" s="22"/>
      <c r="AX187" s="22"/>
      <c r="AY187" s="22"/>
      <c r="AZ187" s="22"/>
      <c r="BA187" s="22"/>
      <c r="BB187" s="22"/>
      <c r="BC187" s="22"/>
      <c r="BD187" s="22"/>
      <c r="BE187" s="22"/>
      <c r="BF187" s="22"/>
      <c r="BG187" s="22"/>
      <c r="BH187" s="22"/>
      <c r="BI187" s="22"/>
      <c r="BJ187" s="22"/>
    </row>
    <row r="188" spans="45:62" x14ac:dyDescent="0.25">
      <c r="AS188" s="22"/>
      <c r="AT188" s="22"/>
      <c r="AU188" s="22"/>
      <c r="AV188" s="22"/>
      <c r="AW188" s="22"/>
      <c r="AX188" s="22"/>
      <c r="AY188" s="22"/>
      <c r="AZ188" s="22"/>
      <c r="BA188" s="22"/>
      <c r="BB188" s="22"/>
      <c r="BC188" s="22"/>
      <c r="BD188" s="22"/>
      <c r="BE188" s="22"/>
      <c r="BF188" s="22"/>
      <c r="BG188" s="22"/>
      <c r="BH188" s="22"/>
      <c r="BI188" s="22"/>
      <c r="BJ188" s="22"/>
    </row>
    <row r="189" spans="45:62" x14ac:dyDescent="0.25">
      <c r="AS189" s="22"/>
      <c r="AT189" s="22"/>
      <c r="AU189" s="22"/>
      <c r="AV189" s="22"/>
      <c r="AW189" s="22"/>
      <c r="AX189" s="22"/>
      <c r="AY189" s="22"/>
      <c r="AZ189" s="22"/>
      <c r="BA189" s="22"/>
      <c r="BB189" s="22"/>
      <c r="BC189" s="22"/>
      <c r="BD189" s="22"/>
      <c r="BE189" s="22"/>
      <c r="BF189" s="22"/>
      <c r="BG189" s="22"/>
      <c r="BH189" s="22"/>
      <c r="BI189" s="22"/>
      <c r="BJ189" s="22"/>
    </row>
    <row r="190" spans="45:62" x14ac:dyDescent="0.25">
      <c r="AS190" s="22"/>
      <c r="AT190" s="22"/>
      <c r="AU190" s="22"/>
      <c r="AV190" s="22"/>
      <c r="AW190" s="22"/>
      <c r="AX190" s="22"/>
      <c r="AY190" s="22"/>
      <c r="AZ190" s="22"/>
      <c r="BA190" s="22"/>
      <c r="BB190" s="22"/>
      <c r="BC190" s="22"/>
      <c r="BD190" s="22"/>
      <c r="BE190" s="22"/>
      <c r="BF190" s="22"/>
      <c r="BG190" s="22"/>
      <c r="BH190" s="22"/>
      <c r="BI190" s="22"/>
      <c r="BJ190" s="22"/>
    </row>
    <row r="191" spans="45:62" x14ac:dyDescent="0.25">
      <c r="AS191" s="22"/>
      <c r="AT191" s="22"/>
      <c r="AU191" s="22"/>
      <c r="AV191" s="22"/>
      <c r="AW191" s="22"/>
      <c r="AX191" s="22"/>
      <c r="AY191" s="22"/>
      <c r="AZ191" s="22"/>
      <c r="BA191" s="22"/>
      <c r="BB191" s="22"/>
      <c r="BC191" s="22"/>
      <c r="BD191" s="22"/>
      <c r="BE191" s="22"/>
      <c r="BF191" s="22"/>
      <c r="BG191" s="22"/>
      <c r="BH191" s="22"/>
      <c r="BI191" s="22"/>
      <c r="BJ191" s="22"/>
    </row>
    <row r="192" spans="45:62" x14ac:dyDescent="0.25">
      <c r="AS192" s="22"/>
      <c r="AT192" s="22"/>
      <c r="AU192" s="22"/>
      <c r="AV192" s="22"/>
      <c r="AW192" s="22"/>
      <c r="AX192" s="22"/>
      <c r="AY192" s="22"/>
      <c r="AZ192" s="22"/>
      <c r="BA192" s="22"/>
      <c r="BB192" s="22"/>
      <c r="BC192" s="22"/>
      <c r="BD192" s="22"/>
      <c r="BE192" s="22"/>
      <c r="BF192" s="22"/>
      <c r="BG192" s="22"/>
      <c r="BH192" s="22"/>
      <c r="BI192" s="22"/>
      <c r="BJ192" s="22"/>
    </row>
    <row r="193" spans="45:62" x14ac:dyDescent="0.25">
      <c r="AS193" s="22"/>
      <c r="AT193" s="22"/>
      <c r="AU193" s="22"/>
      <c r="AV193" s="22"/>
      <c r="AW193" s="22"/>
      <c r="AX193" s="22"/>
      <c r="AY193" s="22"/>
      <c r="AZ193" s="22"/>
      <c r="BA193" s="22"/>
      <c r="BB193" s="22"/>
      <c r="BC193" s="22"/>
      <c r="BD193" s="22"/>
      <c r="BE193" s="22"/>
      <c r="BF193" s="22"/>
      <c r="BG193" s="22"/>
      <c r="BH193" s="22"/>
      <c r="BI193" s="22"/>
      <c r="BJ193" s="22"/>
    </row>
    <row r="194" spans="45:62" x14ac:dyDescent="0.25">
      <c r="AS194" s="22"/>
      <c r="AT194" s="22"/>
      <c r="AU194" s="22"/>
      <c r="AV194" s="22"/>
      <c r="AW194" s="22"/>
      <c r="AX194" s="22"/>
      <c r="AY194" s="22"/>
      <c r="AZ194" s="22"/>
      <c r="BA194" s="22"/>
      <c r="BB194" s="22"/>
      <c r="BC194" s="22"/>
      <c r="BD194" s="22"/>
      <c r="BE194" s="22"/>
      <c r="BF194" s="22"/>
      <c r="BG194" s="22"/>
      <c r="BH194" s="22"/>
      <c r="BI194" s="22"/>
      <c r="BJ194" s="22"/>
    </row>
    <row r="195" spans="45:62" x14ac:dyDescent="0.25">
      <c r="AS195" s="22"/>
      <c r="AT195" s="22"/>
      <c r="AU195" s="22"/>
      <c r="AV195" s="22"/>
      <c r="AW195" s="22"/>
      <c r="AX195" s="22"/>
      <c r="AY195" s="22"/>
      <c r="AZ195" s="22"/>
      <c r="BA195" s="22"/>
      <c r="BB195" s="22"/>
      <c r="BC195" s="22"/>
      <c r="BD195" s="22"/>
      <c r="BE195" s="22"/>
      <c r="BF195" s="22"/>
      <c r="BG195" s="22"/>
      <c r="BH195" s="22"/>
      <c r="BI195" s="22"/>
      <c r="BJ195" s="22"/>
    </row>
    <row r="196" spans="45:62" x14ac:dyDescent="0.25">
      <c r="AS196" s="22"/>
      <c r="AT196" s="22"/>
      <c r="AU196" s="22"/>
      <c r="AV196" s="22"/>
      <c r="AW196" s="22"/>
      <c r="AX196" s="22"/>
      <c r="AY196" s="22"/>
      <c r="AZ196" s="22"/>
      <c r="BA196" s="22"/>
      <c r="BB196" s="22"/>
      <c r="BC196" s="22"/>
      <c r="BD196" s="22"/>
      <c r="BE196" s="22"/>
      <c r="BF196" s="22"/>
      <c r="BG196" s="22"/>
      <c r="BH196" s="22"/>
      <c r="BI196" s="22"/>
      <c r="BJ196" s="22"/>
    </row>
    <row r="197" spans="45:62" x14ac:dyDescent="0.25">
      <c r="AS197" s="22"/>
      <c r="AT197" s="22"/>
      <c r="AU197" s="22"/>
      <c r="AV197" s="22"/>
      <c r="AW197" s="22"/>
      <c r="AX197" s="22"/>
      <c r="AY197" s="22"/>
      <c r="AZ197" s="22"/>
      <c r="BA197" s="22"/>
      <c r="BB197" s="22"/>
      <c r="BC197" s="22"/>
      <c r="BD197" s="22"/>
      <c r="BE197" s="22"/>
      <c r="BF197" s="22"/>
      <c r="BG197" s="22"/>
      <c r="BH197" s="22"/>
      <c r="BI197" s="22"/>
      <c r="BJ197" s="22"/>
    </row>
    <row r="198" spans="45:62" x14ac:dyDescent="0.25">
      <c r="AS198" s="22"/>
      <c r="AT198" s="22"/>
      <c r="AU198" s="22"/>
      <c r="AV198" s="22"/>
      <c r="AW198" s="22"/>
      <c r="AX198" s="22"/>
      <c r="AY198" s="22"/>
      <c r="AZ198" s="22"/>
      <c r="BA198" s="22"/>
      <c r="BB198" s="22"/>
      <c r="BC198" s="22"/>
      <c r="BD198" s="22"/>
      <c r="BE198" s="22"/>
      <c r="BF198" s="22"/>
      <c r="BG198" s="22"/>
      <c r="BH198" s="22"/>
      <c r="BI198" s="22"/>
      <c r="BJ198" s="22"/>
    </row>
    <row r="199" spans="45:62" x14ac:dyDescent="0.25">
      <c r="AS199" s="22"/>
      <c r="AT199" s="22"/>
      <c r="AU199" s="22"/>
      <c r="AV199" s="22"/>
      <c r="AW199" s="22"/>
      <c r="AX199" s="22"/>
      <c r="AY199" s="22"/>
      <c r="AZ199" s="22"/>
      <c r="BA199" s="22"/>
      <c r="BB199" s="22"/>
      <c r="BC199" s="22"/>
      <c r="BD199" s="22"/>
      <c r="BE199" s="22"/>
      <c r="BF199" s="22"/>
      <c r="BG199" s="22"/>
      <c r="BH199" s="22"/>
      <c r="BI199" s="22"/>
      <c r="BJ199" s="22"/>
    </row>
    <row r="200" spans="45:62" x14ac:dyDescent="0.25">
      <c r="AS200" s="22"/>
      <c r="AT200" s="22"/>
      <c r="AU200" s="22"/>
      <c r="AV200" s="22"/>
      <c r="AW200" s="22"/>
      <c r="AX200" s="22"/>
      <c r="AY200" s="22"/>
      <c r="AZ200" s="22"/>
      <c r="BA200" s="22"/>
      <c r="BB200" s="22"/>
      <c r="BC200" s="22"/>
      <c r="BD200" s="22"/>
      <c r="BE200" s="22"/>
      <c r="BF200" s="22"/>
      <c r="BG200" s="22"/>
      <c r="BH200" s="22"/>
      <c r="BI200" s="22"/>
      <c r="BJ200" s="22"/>
    </row>
    <row r="201" spans="45:62" x14ac:dyDescent="0.25">
      <c r="AS201" s="22"/>
      <c r="AT201" s="22"/>
      <c r="AU201" s="22"/>
      <c r="AV201" s="22"/>
      <c r="AW201" s="22"/>
      <c r="AX201" s="22"/>
      <c r="AY201" s="22"/>
      <c r="AZ201" s="22"/>
      <c r="BA201" s="22"/>
      <c r="BB201" s="22"/>
      <c r="BC201" s="22"/>
      <c r="BD201" s="22"/>
      <c r="BE201" s="22"/>
      <c r="BF201" s="22"/>
      <c r="BG201" s="22"/>
      <c r="BH201" s="22"/>
      <c r="BI201" s="22"/>
      <c r="BJ201" s="22"/>
    </row>
    <row r="202" spans="45:62" x14ac:dyDescent="0.25">
      <c r="AS202" s="22"/>
      <c r="AT202" s="22"/>
      <c r="AU202" s="22"/>
      <c r="AV202" s="22"/>
      <c r="AW202" s="22"/>
      <c r="AX202" s="22"/>
      <c r="AY202" s="22"/>
      <c r="AZ202" s="22"/>
      <c r="BA202" s="22"/>
      <c r="BB202" s="22"/>
      <c r="BC202" s="22"/>
      <c r="BD202" s="22"/>
      <c r="BE202" s="22"/>
      <c r="BF202" s="22"/>
      <c r="BG202" s="22"/>
      <c r="BH202" s="22"/>
      <c r="BI202" s="22"/>
      <c r="BJ202" s="22"/>
    </row>
    <row r="203" spans="45:62" x14ac:dyDescent="0.25">
      <c r="AS203" s="22"/>
      <c r="AT203" s="22"/>
      <c r="AU203" s="22"/>
      <c r="AV203" s="22"/>
      <c r="AW203" s="22"/>
      <c r="AX203" s="22"/>
      <c r="AY203" s="22"/>
      <c r="AZ203" s="22"/>
      <c r="BA203" s="22"/>
      <c r="BB203" s="22"/>
      <c r="BC203" s="22"/>
      <c r="BD203" s="22"/>
      <c r="BE203" s="22"/>
      <c r="BF203" s="22"/>
      <c r="BG203" s="22"/>
      <c r="BH203" s="22"/>
      <c r="BI203" s="22"/>
      <c r="BJ203" s="22"/>
    </row>
    <row r="204" spans="45:62" x14ac:dyDescent="0.25">
      <c r="AS204" s="22"/>
      <c r="AT204" s="22"/>
      <c r="AU204" s="22"/>
      <c r="AV204" s="22"/>
      <c r="AW204" s="22"/>
      <c r="AX204" s="22"/>
      <c r="AY204" s="22"/>
      <c r="AZ204" s="22"/>
      <c r="BA204" s="22"/>
      <c r="BB204" s="22"/>
      <c r="BC204" s="22"/>
      <c r="BD204" s="22"/>
      <c r="BE204" s="22"/>
      <c r="BF204" s="22"/>
      <c r="BG204" s="22"/>
      <c r="BH204" s="22"/>
      <c r="BI204" s="22"/>
      <c r="BJ204" s="22"/>
    </row>
    <row r="205" spans="45:62" x14ac:dyDescent="0.25">
      <c r="AS205" s="22"/>
      <c r="AT205" s="22"/>
      <c r="AU205" s="22"/>
      <c r="AV205" s="22"/>
      <c r="AW205" s="22"/>
      <c r="AX205" s="22"/>
      <c r="AY205" s="22"/>
      <c r="AZ205" s="22"/>
      <c r="BA205" s="22"/>
      <c r="BB205" s="22"/>
      <c r="BC205" s="22"/>
      <c r="BD205" s="22"/>
      <c r="BE205" s="22"/>
      <c r="BF205" s="22"/>
      <c r="BG205" s="22"/>
      <c r="BH205" s="22"/>
      <c r="BI205" s="22"/>
      <c r="BJ205" s="22"/>
    </row>
    <row r="206" spans="45:62" x14ac:dyDescent="0.25">
      <c r="AS206" s="22"/>
      <c r="AT206" s="22"/>
      <c r="AU206" s="22"/>
      <c r="AV206" s="22"/>
      <c r="AW206" s="22"/>
      <c r="AX206" s="22"/>
      <c r="AY206" s="22"/>
      <c r="AZ206" s="22"/>
      <c r="BA206" s="22"/>
      <c r="BB206" s="22"/>
      <c r="BC206" s="22"/>
      <c r="BD206" s="22"/>
      <c r="BE206" s="22"/>
      <c r="BF206" s="22"/>
      <c r="BG206" s="22"/>
      <c r="BH206" s="22"/>
      <c r="BI206" s="22"/>
      <c r="BJ206" s="22"/>
    </row>
    <row r="207" spans="45:62" x14ac:dyDescent="0.25">
      <c r="AS207" s="22"/>
      <c r="AT207" s="22"/>
      <c r="AU207" s="22"/>
      <c r="AV207" s="22"/>
      <c r="AW207" s="22"/>
      <c r="AX207" s="22"/>
      <c r="AY207" s="22"/>
      <c r="AZ207" s="22"/>
      <c r="BA207" s="22"/>
      <c r="BB207" s="22"/>
      <c r="BC207" s="22"/>
      <c r="BD207" s="22"/>
      <c r="BE207" s="22"/>
      <c r="BF207" s="22"/>
      <c r="BG207" s="22"/>
      <c r="BH207" s="22"/>
      <c r="BI207" s="22"/>
      <c r="BJ207" s="22"/>
    </row>
    <row r="208" spans="45:62" x14ac:dyDescent="0.25">
      <c r="AS208" s="22"/>
      <c r="AT208" s="22"/>
      <c r="AU208" s="22"/>
      <c r="AV208" s="22"/>
      <c r="AW208" s="22"/>
      <c r="AX208" s="22"/>
      <c r="AY208" s="22"/>
      <c r="AZ208" s="22"/>
      <c r="BA208" s="22"/>
      <c r="BB208" s="22"/>
      <c r="BC208" s="22"/>
      <c r="BD208" s="22"/>
      <c r="BE208" s="22"/>
      <c r="BF208" s="22"/>
      <c r="BG208" s="22"/>
      <c r="BH208" s="22"/>
      <c r="BI208" s="22"/>
      <c r="BJ208" s="22"/>
    </row>
    <row r="209" spans="45:62" x14ac:dyDescent="0.25">
      <c r="AS209" s="22"/>
      <c r="AT209" s="22"/>
      <c r="AU209" s="22"/>
      <c r="AV209" s="22"/>
      <c r="AW209" s="22"/>
      <c r="AX209" s="22"/>
      <c r="AY209" s="22"/>
      <c r="AZ209" s="22"/>
      <c r="BA209" s="22"/>
      <c r="BB209" s="22"/>
      <c r="BC209" s="22"/>
      <c r="BD209" s="22"/>
      <c r="BE209" s="22"/>
      <c r="BF209" s="22"/>
      <c r="BG209" s="22"/>
      <c r="BH209" s="22"/>
      <c r="BI209" s="22"/>
      <c r="BJ209" s="22"/>
    </row>
    <row r="210" spans="45:62" x14ac:dyDescent="0.25">
      <c r="AS210" s="22"/>
      <c r="AT210" s="22"/>
      <c r="AU210" s="22"/>
      <c r="AV210" s="22"/>
      <c r="AW210" s="22"/>
      <c r="AX210" s="22"/>
      <c r="AY210" s="22"/>
      <c r="AZ210" s="22"/>
      <c r="BA210" s="22"/>
      <c r="BB210" s="22"/>
      <c r="BC210" s="22"/>
      <c r="BD210" s="22"/>
      <c r="BE210" s="22"/>
      <c r="BF210" s="22"/>
      <c r="BG210" s="22"/>
      <c r="BH210" s="22"/>
      <c r="BI210" s="22"/>
      <c r="BJ210" s="22"/>
    </row>
    <row r="211" spans="45:62" x14ac:dyDescent="0.25">
      <c r="AS211" s="22"/>
      <c r="AT211" s="22"/>
      <c r="AU211" s="22"/>
      <c r="AV211" s="22"/>
      <c r="AW211" s="22"/>
      <c r="AX211" s="22"/>
      <c r="AY211" s="22"/>
      <c r="AZ211" s="22"/>
      <c r="BA211" s="22"/>
      <c r="BB211" s="22"/>
      <c r="BC211" s="22"/>
      <c r="BD211" s="22"/>
      <c r="BE211" s="22"/>
      <c r="BF211" s="22"/>
      <c r="BG211" s="22"/>
      <c r="BH211" s="22"/>
      <c r="BI211" s="22"/>
      <c r="BJ211" s="22"/>
    </row>
    <row r="212" spans="45:62" x14ac:dyDescent="0.25">
      <c r="AS212" s="22"/>
      <c r="AT212" s="22"/>
      <c r="AU212" s="22"/>
      <c r="AV212" s="22"/>
      <c r="AW212" s="22"/>
      <c r="AX212" s="22"/>
      <c r="AY212" s="22"/>
      <c r="AZ212" s="22"/>
      <c r="BA212" s="22"/>
      <c r="BB212" s="22"/>
      <c r="BC212" s="22"/>
      <c r="BD212" s="22"/>
      <c r="BE212" s="22"/>
      <c r="BF212" s="22"/>
      <c r="BG212" s="22"/>
      <c r="BH212" s="22"/>
      <c r="BI212" s="22"/>
      <c r="BJ212" s="22"/>
    </row>
    <row r="213" spans="45:62" x14ac:dyDescent="0.25">
      <c r="AS213" s="22"/>
      <c r="AT213" s="22"/>
      <c r="AU213" s="22"/>
      <c r="AV213" s="22"/>
      <c r="AW213" s="22"/>
      <c r="AX213" s="22"/>
      <c r="AY213" s="22"/>
      <c r="AZ213" s="22"/>
      <c r="BA213" s="22"/>
      <c r="BB213" s="22"/>
      <c r="BC213" s="22"/>
      <c r="BD213" s="22"/>
      <c r="BE213" s="22"/>
      <c r="BF213" s="22"/>
      <c r="BG213" s="22"/>
      <c r="BH213" s="22"/>
      <c r="BI213" s="22"/>
      <c r="BJ213" s="22"/>
    </row>
    <row r="214" spans="45:62" x14ac:dyDescent="0.25">
      <c r="AS214" s="22"/>
      <c r="AT214" s="22"/>
      <c r="AU214" s="22"/>
      <c r="AV214" s="22"/>
      <c r="AW214" s="22"/>
      <c r="AX214" s="22"/>
      <c r="AY214" s="22"/>
      <c r="AZ214" s="22"/>
      <c r="BA214" s="22"/>
      <c r="BB214" s="22"/>
      <c r="BC214" s="22"/>
      <c r="BD214" s="22"/>
      <c r="BE214" s="22"/>
      <c r="BF214" s="22"/>
      <c r="BG214" s="22"/>
      <c r="BH214" s="22"/>
      <c r="BI214" s="22"/>
      <c r="BJ214" s="22"/>
    </row>
    <row r="215" spans="45:62" x14ac:dyDescent="0.25">
      <c r="AS215" s="22"/>
      <c r="AT215" s="22"/>
      <c r="AU215" s="22"/>
      <c r="AV215" s="22"/>
      <c r="AW215" s="22"/>
      <c r="AX215" s="22"/>
      <c r="AY215" s="22"/>
      <c r="AZ215" s="22"/>
      <c r="BA215" s="22"/>
      <c r="BB215" s="22"/>
      <c r="BC215" s="22"/>
      <c r="BD215" s="22"/>
      <c r="BE215" s="22"/>
      <c r="BF215" s="22"/>
      <c r="BG215" s="22"/>
      <c r="BH215" s="22"/>
      <c r="BI215" s="22"/>
      <c r="BJ215" s="22"/>
    </row>
    <row r="216" spans="45:62" x14ac:dyDescent="0.25">
      <c r="AS216" s="22"/>
      <c r="AT216" s="22"/>
      <c r="AU216" s="22"/>
      <c r="AV216" s="22"/>
      <c r="AW216" s="22"/>
      <c r="AX216" s="22"/>
      <c r="AY216" s="22"/>
      <c r="AZ216" s="22"/>
      <c r="BA216" s="22"/>
      <c r="BB216" s="22"/>
      <c r="BC216" s="22"/>
      <c r="BD216" s="22"/>
      <c r="BE216" s="22"/>
      <c r="BF216" s="22"/>
      <c r="BG216" s="22"/>
      <c r="BH216" s="22"/>
      <c r="BI216" s="22"/>
      <c r="BJ216" s="22"/>
    </row>
    <row r="217" spans="45:62" x14ac:dyDescent="0.25">
      <c r="AS217" s="22"/>
      <c r="AT217" s="22"/>
      <c r="AU217" s="22"/>
      <c r="AV217" s="22"/>
      <c r="AW217" s="22"/>
      <c r="AX217" s="22"/>
      <c r="AY217" s="22"/>
      <c r="AZ217" s="22"/>
      <c r="BA217" s="22"/>
      <c r="BB217" s="22"/>
      <c r="BC217" s="22"/>
      <c r="BD217" s="22"/>
      <c r="BE217" s="22"/>
      <c r="BF217" s="22"/>
      <c r="BG217" s="22"/>
      <c r="BH217" s="22"/>
      <c r="BI217" s="22"/>
      <c r="BJ217" s="22"/>
    </row>
    <row r="218" spans="45:62" x14ac:dyDescent="0.25">
      <c r="AS218" s="22"/>
      <c r="AT218" s="22"/>
      <c r="AU218" s="22"/>
      <c r="AV218" s="22"/>
      <c r="AW218" s="22"/>
      <c r="AX218" s="22"/>
      <c r="AY218" s="22"/>
      <c r="AZ218" s="22"/>
      <c r="BA218" s="22"/>
      <c r="BB218" s="22"/>
      <c r="BC218" s="22"/>
      <c r="BD218" s="22"/>
      <c r="BE218" s="22"/>
      <c r="BF218" s="22"/>
      <c r="BG218" s="22"/>
      <c r="BH218" s="22"/>
      <c r="BI218" s="22"/>
      <c r="BJ218" s="22"/>
    </row>
    <row r="219" spans="45:62" x14ac:dyDescent="0.25">
      <c r="AS219" s="22"/>
      <c r="AT219" s="22"/>
      <c r="AU219" s="22"/>
      <c r="AV219" s="22"/>
      <c r="AW219" s="22"/>
      <c r="AX219" s="22"/>
      <c r="AY219" s="22"/>
      <c r="AZ219" s="22"/>
      <c r="BA219" s="22"/>
      <c r="BB219" s="22"/>
      <c r="BC219" s="22"/>
      <c r="BD219" s="22"/>
      <c r="BE219" s="22"/>
      <c r="BF219" s="22"/>
      <c r="BG219" s="22"/>
      <c r="BH219" s="22"/>
      <c r="BI219" s="22"/>
      <c r="BJ219" s="22"/>
    </row>
    <row r="220" spans="45:62" x14ac:dyDescent="0.25">
      <c r="AS220" s="22"/>
      <c r="AT220" s="22"/>
      <c r="AU220" s="22"/>
      <c r="AV220" s="22"/>
      <c r="AW220" s="22"/>
      <c r="AX220" s="22"/>
      <c r="AY220" s="22"/>
      <c r="AZ220" s="22"/>
      <c r="BA220" s="22"/>
      <c r="BB220" s="22"/>
      <c r="BC220" s="22"/>
      <c r="BD220" s="22"/>
      <c r="BE220" s="22"/>
      <c r="BF220" s="22"/>
      <c r="BG220" s="22"/>
      <c r="BH220" s="22"/>
      <c r="BI220" s="22"/>
      <c r="BJ220" s="22"/>
    </row>
    <row r="221" spans="45:62" x14ac:dyDescent="0.25">
      <c r="AS221" s="22"/>
      <c r="AT221" s="22"/>
      <c r="AU221" s="22"/>
      <c r="AV221" s="22"/>
      <c r="AW221" s="22"/>
      <c r="AX221" s="22"/>
      <c r="AY221" s="22"/>
      <c r="AZ221" s="22"/>
      <c r="BA221" s="22"/>
      <c r="BB221" s="22"/>
      <c r="BC221" s="22"/>
      <c r="BD221" s="22"/>
      <c r="BE221" s="22"/>
      <c r="BF221" s="22"/>
      <c r="BG221" s="22"/>
      <c r="BH221" s="22"/>
      <c r="BI221" s="22"/>
      <c r="BJ221" s="22"/>
    </row>
    <row r="222" spans="45:62" x14ac:dyDescent="0.25">
      <c r="AS222" s="22"/>
      <c r="AT222" s="22"/>
      <c r="AU222" s="22"/>
      <c r="AV222" s="22"/>
      <c r="AW222" s="22"/>
      <c r="AX222" s="22"/>
      <c r="AY222" s="22"/>
      <c r="AZ222" s="22"/>
      <c r="BA222" s="22"/>
      <c r="BB222" s="22"/>
      <c r="BC222" s="22"/>
      <c r="BD222" s="22"/>
      <c r="BE222" s="22"/>
      <c r="BF222" s="22"/>
      <c r="BG222" s="22"/>
      <c r="BH222" s="22"/>
      <c r="BI222" s="22"/>
      <c r="BJ222" s="22"/>
    </row>
    <row r="223" spans="45:62" x14ac:dyDescent="0.25">
      <c r="AS223" s="22"/>
      <c r="AT223" s="22"/>
      <c r="AU223" s="22"/>
      <c r="AV223" s="22"/>
      <c r="AW223" s="22"/>
      <c r="AX223" s="22"/>
      <c r="AY223" s="22"/>
      <c r="AZ223" s="22"/>
      <c r="BA223" s="22"/>
      <c r="BB223" s="22"/>
      <c r="BC223" s="22"/>
      <c r="BD223" s="22"/>
      <c r="BE223" s="22"/>
      <c r="BF223" s="22"/>
      <c r="BG223" s="22"/>
      <c r="BH223" s="22"/>
      <c r="BI223" s="22"/>
      <c r="BJ223" s="22"/>
    </row>
    <row r="224" spans="45:62" x14ac:dyDescent="0.25">
      <c r="AS224" s="22"/>
      <c r="AT224" s="22"/>
      <c r="AU224" s="22"/>
      <c r="AV224" s="22"/>
      <c r="AW224" s="22"/>
      <c r="AX224" s="22"/>
      <c r="AY224" s="22"/>
      <c r="AZ224" s="22"/>
      <c r="BA224" s="22"/>
      <c r="BB224" s="22"/>
      <c r="BC224" s="22"/>
      <c r="BD224" s="22"/>
      <c r="BE224" s="22"/>
      <c r="BF224" s="22"/>
      <c r="BG224" s="22"/>
      <c r="BH224" s="22"/>
      <c r="BI224" s="22"/>
      <c r="BJ224" s="22"/>
    </row>
    <row r="225" spans="45:62" x14ac:dyDescent="0.25">
      <c r="AS225" s="22"/>
      <c r="AT225" s="22"/>
      <c r="AU225" s="22"/>
      <c r="AV225" s="22"/>
      <c r="AW225" s="22"/>
      <c r="AX225" s="22"/>
      <c r="AY225" s="22"/>
      <c r="AZ225" s="22"/>
      <c r="BA225" s="22"/>
      <c r="BB225" s="22"/>
      <c r="BC225" s="22"/>
      <c r="BD225" s="22"/>
      <c r="BE225" s="22"/>
      <c r="BF225" s="22"/>
      <c r="BG225" s="22"/>
      <c r="BH225" s="22"/>
      <c r="BI225" s="22"/>
      <c r="BJ225" s="22"/>
    </row>
    <row r="226" spans="45:62" x14ac:dyDescent="0.25">
      <c r="AS226" s="22"/>
      <c r="AT226" s="22"/>
      <c r="AU226" s="22"/>
      <c r="AV226" s="22"/>
      <c r="AW226" s="22"/>
      <c r="AX226" s="22"/>
      <c r="AY226" s="22"/>
      <c r="AZ226" s="22"/>
      <c r="BA226" s="22"/>
      <c r="BB226" s="22"/>
      <c r="BC226" s="22"/>
      <c r="BD226" s="22"/>
      <c r="BE226" s="22"/>
      <c r="BF226" s="22"/>
      <c r="BG226" s="22"/>
      <c r="BH226" s="22"/>
      <c r="BI226" s="22"/>
      <c r="BJ226" s="22"/>
    </row>
    <row r="227" spans="45:62" x14ac:dyDescent="0.25">
      <c r="AS227" s="22"/>
      <c r="AT227" s="22"/>
      <c r="AU227" s="22"/>
      <c r="AV227" s="22"/>
      <c r="AW227" s="22"/>
      <c r="AX227" s="22"/>
      <c r="AY227" s="22"/>
      <c r="AZ227" s="22"/>
      <c r="BA227" s="22"/>
      <c r="BB227" s="22"/>
      <c r="BC227" s="22"/>
      <c r="BD227" s="22"/>
      <c r="BE227" s="22"/>
      <c r="BF227" s="22"/>
      <c r="BG227" s="22"/>
      <c r="BH227" s="22"/>
      <c r="BI227" s="22"/>
      <c r="BJ227" s="22"/>
    </row>
    <row r="228" spans="45:62" x14ac:dyDescent="0.25">
      <c r="AS228" s="22"/>
      <c r="AT228" s="22"/>
      <c r="AU228" s="22"/>
      <c r="AV228" s="22"/>
      <c r="AW228" s="22"/>
      <c r="AX228" s="22"/>
      <c r="AY228" s="22"/>
      <c r="AZ228" s="22"/>
      <c r="BA228" s="22"/>
      <c r="BB228" s="22"/>
      <c r="BC228" s="22"/>
      <c r="BD228" s="22"/>
      <c r="BE228" s="22"/>
      <c r="BF228" s="22"/>
      <c r="BG228" s="22"/>
      <c r="BH228" s="22"/>
      <c r="BI228" s="22"/>
      <c r="BJ228" s="22"/>
    </row>
    <row r="229" spans="45:62" x14ac:dyDescent="0.25">
      <c r="AS229" s="22"/>
      <c r="AT229" s="22"/>
      <c r="AU229" s="22"/>
      <c r="AV229" s="22"/>
      <c r="AW229" s="22"/>
      <c r="AX229" s="22"/>
      <c r="AY229" s="22"/>
      <c r="AZ229" s="22"/>
      <c r="BA229" s="22"/>
      <c r="BB229" s="22"/>
      <c r="BC229" s="22"/>
      <c r="BD229" s="22"/>
      <c r="BE229" s="22"/>
      <c r="BF229" s="22"/>
      <c r="BG229" s="22"/>
      <c r="BH229" s="22"/>
      <c r="BI229" s="22"/>
      <c r="BJ229" s="22"/>
    </row>
    <row r="230" spans="45:62" x14ac:dyDescent="0.25">
      <c r="AS230" s="22"/>
      <c r="AT230" s="22"/>
      <c r="AU230" s="22"/>
      <c r="AV230" s="22"/>
      <c r="AW230" s="22"/>
      <c r="AX230" s="22"/>
      <c r="AY230" s="22"/>
      <c r="AZ230" s="22"/>
      <c r="BA230" s="22"/>
      <c r="BB230" s="22"/>
      <c r="BC230" s="22"/>
      <c r="BD230" s="22"/>
      <c r="BE230" s="22"/>
      <c r="BF230" s="22"/>
      <c r="BG230" s="22"/>
      <c r="BH230" s="22"/>
      <c r="BI230" s="22"/>
      <c r="BJ230" s="22"/>
    </row>
    <row r="231" spans="45:62" x14ac:dyDescent="0.25">
      <c r="AS231" s="22"/>
      <c r="AT231" s="22"/>
      <c r="AU231" s="22"/>
      <c r="AV231" s="22"/>
      <c r="AW231" s="22"/>
      <c r="AX231" s="22"/>
      <c r="AY231" s="22"/>
      <c r="AZ231" s="22"/>
      <c r="BA231" s="22"/>
      <c r="BB231" s="22"/>
      <c r="BC231" s="22"/>
      <c r="BD231" s="22"/>
      <c r="BE231" s="22"/>
      <c r="BF231" s="22"/>
      <c r="BG231" s="22"/>
      <c r="BH231" s="22"/>
      <c r="BI231" s="22"/>
      <c r="BJ231" s="22"/>
    </row>
    <row r="232" spans="45:62" x14ac:dyDescent="0.25">
      <c r="AS232" s="22"/>
      <c r="AT232" s="22"/>
      <c r="AU232" s="22"/>
      <c r="AV232" s="22"/>
      <c r="AW232" s="22"/>
      <c r="AX232" s="22"/>
      <c r="AY232" s="22"/>
      <c r="AZ232" s="22"/>
      <c r="BA232" s="22"/>
      <c r="BB232" s="22"/>
      <c r="BC232" s="22"/>
      <c r="BD232" s="22"/>
      <c r="BE232" s="22"/>
      <c r="BF232" s="22"/>
      <c r="BG232" s="22"/>
      <c r="BH232" s="22"/>
      <c r="BI232" s="22"/>
      <c r="BJ232" s="22"/>
    </row>
    <row r="233" spans="45:62" x14ac:dyDescent="0.25">
      <c r="AS233" s="22"/>
      <c r="AT233" s="22"/>
      <c r="AU233" s="22"/>
      <c r="AV233" s="22"/>
      <c r="AW233" s="22"/>
      <c r="AX233" s="22"/>
      <c r="AY233" s="22"/>
      <c r="AZ233" s="22"/>
      <c r="BA233" s="22"/>
      <c r="BB233" s="22"/>
      <c r="BC233" s="22"/>
      <c r="BD233" s="22"/>
      <c r="BE233" s="22"/>
      <c r="BF233" s="22"/>
      <c r="BG233" s="22"/>
      <c r="BH233" s="22"/>
      <c r="BI233" s="22"/>
      <c r="BJ233" s="22"/>
    </row>
    <row r="234" spans="45:62" x14ac:dyDescent="0.25">
      <c r="AS234" s="22"/>
      <c r="AT234" s="22"/>
      <c r="AU234" s="22"/>
      <c r="AV234" s="22"/>
      <c r="AW234" s="22"/>
      <c r="AX234" s="22"/>
      <c r="AY234" s="22"/>
      <c r="AZ234" s="22"/>
      <c r="BA234" s="22"/>
      <c r="BB234" s="22"/>
      <c r="BC234" s="22"/>
      <c r="BD234" s="22"/>
      <c r="BE234" s="22"/>
      <c r="BF234" s="22"/>
      <c r="BG234" s="22"/>
      <c r="BH234" s="22"/>
      <c r="BI234" s="22"/>
      <c r="BJ234" s="22"/>
    </row>
    <row r="235" spans="45:62" x14ac:dyDescent="0.25">
      <c r="AS235" s="22"/>
      <c r="AT235" s="22"/>
      <c r="AU235" s="22"/>
      <c r="AV235" s="22"/>
      <c r="AW235" s="22"/>
      <c r="AX235" s="22"/>
      <c r="AY235" s="22"/>
      <c r="AZ235" s="22"/>
      <c r="BA235" s="22"/>
      <c r="BB235" s="22"/>
      <c r="BC235" s="22"/>
      <c r="BD235" s="22"/>
      <c r="BE235" s="22"/>
      <c r="BF235" s="22"/>
      <c r="BG235" s="22"/>
      <c r="BH235" s="22"/>
      <c r="BI235" s="22"/>
      <c r="BJ235" s="22"/>
    </row>
    <row r="236" spans="45:62" x14ac:dyDescent="0.25">
      <c r="AS236" s="22"/>
      <c r="AT236" s="22"/>
      <c r="AU236" s="22"/>
      <c r="AV236" s="22"/>
      <c r="AW236" s="22"/>
      <c r="AX236" s="22"/>
      <c r="AY236" s="22"/>
      <c r="AZ236" s="22"/>
      <c r="BA236" s="22"/>
      <c r="BB236" s="22"/>
      <c r="BC236" s="22"/>
      <c r="BD236" s="22"/>
      <c r="BE236" s="22"/>
      <c r="BF236" s="22"/>
      <c r="BG236" s="22"/>
      <c r="BH236" s="22"/>
      <c r="BI236" s="22"/>
      <c r="BJ236" s="22"/>
    </row>
    <row r="237" spans="45:62" x14ac:dyDescent="0.25">
      <c r="AS237" s="22"/>
      <c r="AT237" s="22"/>
      <c r="AU237" s="22"/>
      <c r="AV237" s="22"/>
      <c r="AW237" s="22"/>
      <c r="AX237" s="22"/>
      <c r="AY237" s="22"/>
      <c r="AZ237" s="22"/>
      <c r="BA237" s="22"/>
      <c r="BB237" s="22"/>
      <c r="BC237" s="22"/>
      <c r="BD237" s="22"/>
      <c r="BE237" s="22"/>
      <c r="BF237" s="22"/>
      <c r="BG237" s="22"/>
      <c r="BH237" s="22"/>
      <c r="BI237" s="22"/>
      <c r="BJ237" s="22"/>
    </row>
    <row r="238" spans="45:62" x14ac:dyDescent="0.25">
      <c r="AS238" s="22"/>
      <c r="AT238" s="22"/>
      <c r="AU238" s="22"/>
      <c r="AV238" s="22"/>
      <c r="AW238" s="22"/>
      <c r="AX238" s="22"/>
      <c r="AY238" s="22"/>
      <c r="AZ238" s="22"/>
      <c r="BA238" s="22"/>
      <c r="BB238" s="22"/>
      <c r="BC238" s="22"/>
      <c r="BD238" s="22"/>
      <c r="BE238" s="22"/>
      <c r="BF238" s="22"/>
      <c r="BG238" s="22"/>
      <c r="BH238" s="22"/>
      <c r="BI238" s="22"/>
      <c r="BJ238" s="22"/>
    </row>
    <row r="239" spans="45:62" x14ac:dyDescent="0.25">
      <c r="AS239" s="22"/>
      <c r="AT239" s="22"/>
      <c r="AU239" s="22"/>
      <c r="AV239" s="22"/>
      <c r="AW239" s="22"/>
      <c r="AX239" s="22"/>
      <c r="AY239" s="22"/>
      <c r="AZ239" s="22"/>
      <c r="BA239" s="22"/>
      <c r="BB239" s="22"/>
      <c r="BC239" s="22"/>
      <c r="BD239" s="22"/>
      <c r="BE239" s="22"/>
      <c r="BF239" s="22"/>
      <c r="BG239" s="22"/>
      <c r="BH239" s="22"/>
      <c r="BI239" s="22"/>
      <c r="BJ239" s="22"/>
    </row>
    <row r="240" spans="45:62" x14ac:dyDescent="0.25">
      <c r="AS240" s="22"/>
      <c r="AT240" s="22"/>
      <c r="AU240" s="22"/>
      <c r="AV240" s="22"/>
      <c r="AW240" s="22"/>
      <c r="AX240" s="22"/>
      <c r="AY240" s="22"/>
      <c r="AZ240" s="22"/>
      <c r="BA240" s="22"/>
      <c r="BB240" s="22"/>
      <c r="BC240" s="22"/>
      <c r="BD240" s="22"/>
      <c r="BE240" s="22"/>
      <c r="BF240" s="22"/>
      <c r="BG240" s="22"/>
      <c r="BH240" s="22"/>
      <c r="BI240" s="22"/>
      <c r="BJ240" s="22"/>
    </row>
    <row r="241" spans="45:62" x14ac:dyDescent="0.25">
      <c r="AS241" s="22"/>
      <c r="AT241" s="22"/>
      <c r="AU241" s="22"/>
      <c r="AV241" s="22"/>
      <c r="AW241" s="22"/>
      <c r="AX241" s="22"/>
      <c r="AY241" s="22"/>
      <c r="AZ241" s="22"/>
      <c r="BA241" s="22"/>
      <c r="BB241" s="22"/>
      <c r="BC241" s="22"/>
      <c r="BD241" s="22"/>
      <c r="BE241" s="22"/>
      <c r="BF241" s="22"/>
      <c r="BG241" s="22"/>
      <c r="BH241" s="22"/>
      <c r="BI241" s="22"/>
      <c r="BJ241" s="22"/>
    </row>
    <row r="242" spans="45:62" x14ac:dyDescent="0.25">
      <c r="AS242" s="22"/>
      <c r="AT242" s="22"/>
      <c r="AU242" s="22"/>
      <c r="AV242" s="22"/>
      <c r="AW242" s="22"/>
      <c r="AX242" s="22"/>
      <c r="AY242" s="22"/>
      <c r="AZ242" s="22"/>
      <c r="BA242" s="22"/>
      <c r="BB242" s="22"/>
      <c r="BC242" s="22"/>
      <c r="BD242" s="22"/>
      <c r="BE242" s="22"/>
      <c r="BF242" s="22"/>
      <c r="BG242" s="22"/>
      <c r="BH242" s="22"/>
      <c r="BI242" s="22"/>
      <c r="BJ242" s="22"/>
    </row>
    <row r="243" spans="45:62" x14ac:dyDescent="0.25">
      <c r="AS243" s="22"/>
      <c r="AT243" s="22"/>
      <c r="AU243" s="22"/>
      <c r="AV243" s="22"/>
      <c r="AW243" s="22"/>
      <c r="AX243" s="22"/>
      <c r="AY243" s="22"/>
      <c r="AZ243" s="22"/>
      <c r="BA243" s="22"/>
      <c r="BB243" s="22"/>
      <c r="BC243" s="22"/>
      <c r="BD243" s="22"/>
      <c r="BE243" s="22"/>
      <c r="BF243" s="22"/>
      <c r="BG243" s="22"/>
      <c r="BH243" s="22"/>
      <c r="BI243" s="22"/>
      <c r="BJ243" s="22"/>
    </row>
    <row r="244" spans="45:62" x14ac:dyDescent="0.25">
      <c r="AS244" s="22"/>
      <c r="AT244" s="22"/>
      <c r="AU244" s="22"/>
      <c r="AV244" s="22"/>
      <c r="AW244" s="22"/>
      <c r="AX244" s="22"/>
      <c r="AY244" s="22"/>
      <c r="AZ244" s="22"/>
      <c r="BA244" s="22"/>
      <c r="BB244" s="22"/>
      <c r="BC244" s="22"/>
      <c r="BD244" s="22"/>
      <c r="BE244" s="22"/>
      <c r="BF244" s="22"/>
      <c r="BG244" s="22"/>
      <c r="BH244" s="22"/>
      <c r="BI244" s="22"/>
      <c r="BJ244" s="22"/>
    </row>
    <row r="245" spans="45:62" x14ac:dyDescent="0.25">
      <c r="AS245" s="22"/>
      <c r="AT245" s="22"/>
      <c r="AU245" s="22"/>
      <c r="AV245" s="22"/>
      <c r="AW245" s="22"/>
      <c r="AX245" s="22"/>
      <c r="AY245" s="22"/>
      <c r="AZ245" s="22"/>
      <c r="BA245" s="22"/>
      <c r="BB245" s="22"/>
      <c r="BC245" s="22"/>
      <c r="BD245" s="22"/>
      <c r="BE245" s="22"/>
      <c r="BF245" s="22"/>
      <c r="BG245" s="22"/>
      <c r="BH245" s="22"/>
      <c r="BI245" s="22"/>
      <c r="BJ245" s="22"/>
    </row>
    <row r="246" spans="45:62" x14ac:dyDescent="0.25">
      <c r="AS246" s="22"/>
      <c r="AT246" s="22"/>
      <c r="AU246" s="22"/>
      <c r="AV246" s="22"/>
      <c r="AW246" s="22"/>
      <c r="AX246" s="22"/>
      <c r="AY246" s="22"/>
      <c r="AZ246" s="22"/>
      <c r="BA246" s="22"/>
      <c r="BB246" s="22"/>
      <c r="BC246" s="22"/>
      <c r="BD246" s="22"/>
      <c r="BE246" s="22"/>
      <c r="BF246" s="22"/>
      <c r="BG246" s="22"/>
      <c r="BH246" s="22"/>
      <c r="BI246" s="22"/>
      <c r="BJ246" s="22"/>
    </row>
    <row r="247" spans="45:62" x14ac:dyDescent="0.25">
      <c r="AS247" s="22"/>
      <c r="AT247" s="22"/>
      <c r="AU247" s="22"/>
      <c r="AV247" s="22"/>
      <c r="AW247" s="22"/>
      <c r="AX247" s="22"/>
      <c r="AY247" s="22"/>
      <c r="AZ247" s="22"/>
      <c r="BA247" s="22"/>
      <c r="BB247" s="22"/>
      <c r="BC247" s="22"/>
      <c r="BD247" s="22"/>
      <c r="BE247" s="22"/>
      <c r="BF247" s="22"/>
      <c r="BG247" s="22"/>
      <c r="BH247" s="22"/>
      <c r="BI247" s="22"/>
      <c r="BJ247" s="22"/>
    </row>
    <row r="248" spans="45:62" x14ac:dyDescent="0.25">
      <c r="AS248" s="22"/>
      <c r="AT248" s="22"/>
      <c r="AU248" s="22"/>
      <c r="AV248" s="22"/>
      <c r="AW248" s="22"/>
      <c r="AX248" s="22"/>
      <c r="AY248" s="22"/>
      <c r="AZ248" s="22"/>
      <c r="BA248" s="22"/>
      <c r="BB248" s="22"/>
      <c r="BC248" s="22"/>
      <c r="BD248" s="22"/>
      <c r="BE248" s="22"/>
      <c r="BF248" s="22"/>
      <c r="BG248" s="22"/>
      <c r="BH248" s="22"/>
      <c r="BI248" s="22"/>
      <c r="BJ248" s="22"/>
    </row>
    <row r="249" spans="45:62" x14ac:dyDescent="0.25">
      <c r="AS249" s="22"/>
      <c r="AT249" s="22"/>
      <c r="AU249" s="22"/>
      <c r="AV249" s="22"/>
      <c r="AW249" s="22"/>
      <c r="AX249" s="22"/>
      <c r="AY249" s="22"/>
      <c r="AZ249" s="22"/>
      <c r="BA249" s="22"/>
      <c r="BB249" s="22"/>
      <c r="BC249" s="22"/>
      <c r="BD249" s="22"/>
      <c r="BE249" s="22"/>
      <c r="BF249" s="22"/>
      <c r="BG249" s="22"/>
      <c r="BH249" s="22"/>
      <c r="BI249" s="22"/>
      <c r="BJ249" s="22"/>
    </row>
    <row r="250" spans="45:62" x14ac:dyDescent="0.25">
      <c r="AS250" s="22"/>
      <c r="AT250" s="22"/>
      <c r="AU250" s="22"/>
      <c r="AV250" s="22"/>
      <c r="AW250" s="22"/>
      <c r="AX250" s="22"/>
      <c r="AY250" s="22"/>
      <c r="AZ250" s="22"/>
      <c r="BA250" s="22"/>
      <c r="BB250" s="22"/>
      <c r="BC250" s="22"/>
      <c r="BD250" s="22"/>
      <c r="BE250" s="22"/>
      <c r="BF250" s="22"/>
      <c r="BG250" s="22"/>
      <c r="BH250" s="22"/>
      <c r="BI250" s="22"/>
      <c r="BJ250" s="22"/>
    </row>
    <row r="251" spans="45:62" x14ac:dyDescent="0.25">
      <c r="AS251" s="22"/>
      <c r="AT251" s="22"/>
      <c r="AU251" s="22"/>
      <c r="AV251" s="22"/>
      <c r="AW251" s="22"/>
      <c r="AX251" s="22"/>
      <c r="AY251" s="22"/>
      <c r="AZ251" s="22"/>
      <c r="BA251" s="22"/>
      <c r="BB251" s="22"/>
      <c r="BC251" s="22"/>
      <c r="BD251" s="22"/>
      <c r="BE251" s="22"/>
      <c r="BF251" s="22"/>
      <c r="BG251" s="22"/>
      <c r="BH251" s="22"/>
      <c r="BI251" s="22"/>
      <c r="BJ251" s="22"/>
    </row>
    <row r="252" spans="45:62" x14ac:dyDescent="0.25">
      <c r="AS252" s="22"/>
      <c r="AT252" s="22"/>
      <c r="AU252" s="22"/>
      <c r="AV252" s="22"/>
      <c r="AW252" s="22"/>
      <c r="AX252" s="22"/>
      <c r="AY252" s="22"/>
      <c r="AZ252" s="22"/>
      <c r="BA252" s="22"/>
      <c r="BB252" s="22"/>
      <c r="BC252" s="22"/>
      <c r="BD252" s="22"/>
      <c r="BE252" s="22"/>
      <c r="BF252" s="22"/>
      <c r="BG252" s="22"/>
      <c r="BH252" s="22"/>
      <c r="BI252" s="22"/>
      <c r="BJ252" s="22"/>
    </row>
    <row r="253" spans="45:62" x14ac:dyDescent="0.25">
      <c r="AS253" s="22"/>
      <c r="AT253" s="22"/>
      <c r="AU253" s="22"/>
      <c r="AV253" s="22"/>
      <c r="AW253" s="22"/>
      <c r="AX253" s="22"/>
      <c r="AY253" s="22"/>
      <c r="AZ253" s="22"/>
      <c r="BA253" s="22"/>
      <c r="BB253" s="22"/>
      <c r="BC253" s="22"/>
      <c r="BD253" s="22"/>
      <c r="BE253" s="22"/>
      <c r="BF253" s="22"/>
      <c r="BG253" s="22"/>
      <c r="BH253" s="22"/>
      <c r="BI253" s="22"/>
      <c r="BJ253" s="22"/>
    </row>
    <row r="254" spans="45:62" x14ac:dyDescent="0.25">
      <c r="AS254" s="22"/>
      <c r="AT254" s="22"/>
      <c r="AU254" s="22"/>
      <c r="AV254" s="22"/>
      <c r="AW254" s="22"/>
      <c r="AX254" s="22"/>
      <c r="AY254" s="22"/>
      <c r="AZ254" s="22"/>
      <c r="BA254" s="22"/>
      <c r="BB254" s="22"/>
      <c r="BC254" s="22"/>
      <c r="BD254" s="22"/>
      <c r="BE254" s="22"/>
      <c r="BF254" s="22"/>
      <c r="BG254" s="22"/>
      <c r="BH254" s="22"/>
      <c r="BI254" s="22"/>
      <c r="BJ254" s="22"/>
    </row>
    <row r="255" spans="45:62" x14ac:dyDescent="0.25">
      <c r="AS255" s="22"/>
      <c r="AT255" s="22"/>
      <c r="AU255" s="22"/>
      <c r="AV255" s="22"/>
      <c r="AW255" s="22"/>
      <c r="AX255" s="22"/>
      <c r="AY255" s="22"/>
      <c r="AZ255" s="22"/>
      <c r="BA255" s="22"/>
      <c r="BB255" s="22"/>
      <c r="BC255" s="22"/>
      <c r="BD255" s="22"/>
      <c r="BE255" s="22"/>
      <c r="BF255" s="22"/>
      <c r="BG255" s="22"/>
      <c r="BH255" s="22"/>
      <c r="BI255" s="22"/>
      <c r="BJ255" s="22"/>
    </row>
    <row r="256" spans="45:62" x14ac:dyDescent="0.25">
      <c r="AS256" s="22"/>
      <c r="AT256" s="22"/>
      <c r="AU256" s="22"/>
      <c r="AV256" s="22"/>
      <c r="AW256" s="22"/>
      <c r="AX256" s="22"/>
      <c r="AY256" s="22"/>
      <c r="AZ256" s="22"/>
      <c r="BA256" s="22"/>
      <c r="BB256" s="22"/>
      <c r="BC256" s="22"/>
      <c r="BD256" s="22"/>
      <c r="BE256" s="22"/>
      <c r="BF256" s="22"/>
      <c r="BG256" s="22"/>
      <c r="BH256" s="22"/>
      <c r="BI256" s="22"/>
      <c r="BJ256" s="22"/>
    </row>
  </sheetData>
  <sortState xmlns:xlrd2="http://schemas.microsoft.com/office/spreadsheetml/2017/richdata2" ref="C5:J59">
    <sortCondition descending="1" ref="I5"/>
    <sortCondition descending="1" ref="J5"/>
  </sortState>
  <mergeCells count="3">
    <mergeCell ref="A1:L1"/>
    <mergeCell ref="F3:H3"/>
    <mergeCell ref="G2:K2"/>
  </mergeCells>
  <phoneticPr fontId="4" type="noConversion"/>
  <pageMargins left="0.75" right="0.75" top="1" bottom="1" header="0.5" footer="0.5"/>
  <pageSetup scale="53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LiveRanking">
                <anchor moveWithCells="1" sizeWithCells="1">
                  <from>
                    <xdr:col>3</xdr:col>
                    <xdr:colOff>9525</xdr:colOff>
                    <xdr:row>1</xdr:row>
                    <xdr:rowOff>0</xdr:rowOff>
                  </from>
                  <to>
                    <xdr:col>4</xdr:col>
                    <xdr:colOff>0</xdr:colOff>
                    <xdr:row>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SlowScroll">
                <anchor moveWithCells="1" sizeWithCells="1">
                  <from>
                    <xdr:col>0</xdr:col>
                    <xdr:colOff>85725</xdr:colOff>
                    <xdr:row>1</xdr:row>
                    <xdr:rowOff>76200</xdr:rowOff>
                  </from>
                  <to>
                    <xdr:col>0</xdr:col>
                    <xdr:colOff>638175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StopButton">
                <anchor moveWithCells="1" sizeWithCells="1">
                  <from>
                    <xdr:col>2</xdr:col>
                    <xdr:colOff>180975</xdr:colOff>
                    <xdr:row>1</xdr:row>
                    <xdr:rowOff>85725</xdr:rowOff>
                  </from>
                  <to>
                    <xdr:col>2</xdr:col>
                    <xdr:colOff>685800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AV84"/>
  <sheetViews>
    <sheetView showRowColHeaders="0" zoomScale="65" zoomScaleNormal="65" zoomScaleSheetLayoutView="66" workbookViewId="0">
      <selection activeCell="A32" sqref="A32:C34"/>
    </sheetView>
  </sheetViews>
  <sheetFormatPr defaultColWidth="9.140625" defaultRowHeight="12.75" x14ac:dyDescent="0.2"/>
  <cols>
    <col min="1" max="4" width="9.140625" style="8"/>
    <col min="5" max="39" width="9.140625" style="8" customWidth="1"/>
    <col min="40" max="16384" width="9.140625" style="8"/>
  </cols>
  <sheetData>
    <row r="1" spans="1:45" x14ac:dyDescent="0.2">
      <c r="A1" s="9"/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</row>
    <row r="2" spans="1:45" x14ac:dyDescent="0.2">
      <c r="A2" s="9"/>
      <c r="B2" s="9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</row>
    <row r="3" spans="1:45" x14ac:dyDescent="0.2">
      <c r="A3" s="9"/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</row>
    <row r="4" spans="1:45" ht="13.5" customHeight="1" x14ac:dyDescent="0.2">
      <c r="A4" s="9"/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</row>
    <row r="5" spans="1:45" ht="13.5" customHeight="1" x14ac:dyDescent="0.2">
      <c r="A5" s="9"/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</row>
    <row r="6" spans="1:45" ht="13.5" customHeight="1" x14ac:dyDescent="0.2">
      <c r="A6" s="9"/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</row>
    <row r="7" spans="1:45" ht="13.5" customHeight="1" x14ac:dyDescent="0.2">
      <c r="A7" s="9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</row>
    <row r="8" spans="1:45" ht="13.5" customHeight="1" x14ac:dyDescent="0.2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</row>
    <row r="9" spans="1:45" ht="13.5" customHeight="1" x14ac:dyDescent="0.2">
      <c r="A9" s="9"/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</row>
    <row r="10" spans="1:45" ht="13.5" customHeight="1" x14ac:dyDescent="0.2">
      <c r="A10" s="9"/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</row>
    <row r="11" spans="1:45" ht="13.5" customHeight="1" x14ac:dyDescent="0.2">
      <c r="A11" s="9"/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</row>
    <row r="12" spans="1:45" ht="13.5" customHeight="1" x14ac:dyDescent="0.2">
      <c r="A12" s="9"/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</row>
    <row r="13" spans="1:45" ht="13.5" customHeight="1" x14ac:dyDescent="0.2">
      <c r="A13" s="9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</row>
    <row r="14" spans="1:45" ht="13.5" customHeight="1" x14ac:dyDescent="0.2">
      <c r="A14" s="9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</row>
    <row r="15" spans="1:45" ht="13.5" customHeight="1" x14ac:dyDescent="0.2">
      <c r="A15" s="9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</row>
    <row r="16" spans="1:45" ht="13.5" customHeight="1" x14ac:dyDescent="0.2">
      <c r="A16" s="9"/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</row>
    <row r="17" spans="1:45" ht="13.5" customHeight="1" x14ac:dyDescent="0.2">
      <c r="A17" s="9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</row>
    <row r="18" spans="1:45" ht="13.5" customHeight="1" x14ac:dyDescent="0.3">
      <c r="A18" s="9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12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</row>
    <row r="19" spans="1:45" ht="13.5" customHeight="1" x14ac:dyDescent="0.2">
      <c r="A19" s="9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</row>
    <row r="20" spans="1:45" ht="13.5" customHeight="1" x14ac:dyDescent="0.2">
      <c r="A20" s="9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10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</row>
    <row r="21" spans="1:45" ht="13.5" customHeight="1" x14ac:dyDescent="0.2">
      <c r="A21" s="9"/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10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</row>
    <row r="22" spans="1:45" ht="13.5" customHeight="1" x14ac:dyDescent="0.2">
      <c r="A22" s="9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10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</row>
    <row r="23" spans="1:45" ht="13.5" customHeight="1" x14ac:dyDescent="0.2">
      <c r="A23" s="239"/>
      <c r="B23" s="239"/>
      <c r="C23" s="239"/>
      <c r="D23" s="239"/>
      <c r="E23" s="239"/>
      <c r="F23" s="239"/>
      <c r="G23" s="239"/>
      <c r="H23" s="239"/>
      <c r="I23" s="239"/>
      <c r="J23" s="239"/>
      <c r="K23" s="239"/>
      <c r="L23" s="239"/>
      <c r="M23" s="239"/>
      <c r="N23" s="239"/>
      <c r="O23" s="239"/>
      <c r="P23" s="239"/>
      <c r="Q23" s="239"/>
      <c r="R23" s="239"/>
      <c r="S23" s="9"/>
      <c r="T23" s="10"/>
      <c r="U23" s="9"/>
      <c r="V23" s="9"/>
      <c r="W23" s="9"/>
      <c r="X23" s="9"/>
      <c r="Y23" s="9"/>
      <c r="Z23" s="9"/>
      <c r="AA23" s="239"/>
      <c r="AB23" s="239"/>
      <c r="AC23" s="239"/>
      <c r="AD23" s="239"/>
      <c r="AE23" s="239"/>
      <c r="AF23" s="239"/>
      <c r="AG23" s="239"/>
      <c r="AH23" s="239"/>
      <c r="AI23" s="239"/>
      <c r="AJ23" s="239"/>
      <c r="AK23" s="239"/>
      <c r="AL23" s="239"/>
      <c r="AM23" s="239"/>
      <c r="AN23" s="239"/>
      <c r="AO23" s="239"/>
      <c r="AP23" s="239"/>
      <c r="AQ23" s="239"/>
      <c r="AR23" s="239"/>
      <c r="AS23" s="9"/>
    </row>
    <row r="24" spans="1:45" ht="13.5" customHeight="1" x14ac:dyDescent="0.2">
      <c r="A24" s="239"/>
      <c r="B24" s="239"/>
      <c r="C24" s="239"/>
      <c r="D24" s="239"/>
      <c r="E24" s="239"/>
      <c r="F24" s="239"/>
      <c r="G24" s="239"/>
      <c r="H24" s="239"/>
      <c r="I24" s="239"/>
      <c r="J24" s="239"/>
      <c r="K24" s="239"/>
      <c r="L24" s="239"/>
      <c r="M24" s="239"/>
      <c r="N24" s="239"/>
      <c r="O24" s="239"/>
      <c r="P24" s="239"/>
      <c r="Q24" s="239"/>
      <c r="R24" s="239"/>
      <c r="S24" s="9"/>
      <c r="T24" s="10"/>
      <c r="U24" s="9"/>
      <c r="V24" s="9"/>
      <c r="W24" s="9"/>
      <c r="X24" s="9"/>
      <c r="Y24" s="9"/>
      <c r="Z24" s="9"/>
      <c r="AA24" s="239"/>
      <c r="AB24" s="239"/>
      <c r="AC24" s="239"/>
      <c r="AD24" s="239"/>
      <c r="AE24" s="239"/>
      <c r="AF24" s="239"/>
      <c r="AG24" s="239"/>
      <c r="AH24" s="239"/>
      <c r="AI24" s="239"/>
      <c r="AJ24" s="239"/>
      <c r="AK24" s="239"/>
      <c r="AL24" s="239"/>
      <c r="AM24" s="239"/>
      <c r="AN24" s="239"/>
      <c r="AO24" s="239"/>
      <c r="AP24" s="239"/>
      <c r="AQ24" s="239"/>
      <c r="AR24" s="239"/>
      <c r="AS24" s="9"/>
    </row>
    <row r="25" spans="1:45" ht="13.5" customHeight="1" x14ac:dyDescent="0.2">
      <c r="A25" s="239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  <c r="P25" s="239"/>
      <c r="Q25" s="239"/>
      <c r="R25" s="239"/>
      <c r="S25" s="9"/>
      <c r="T25" s="10"/>
      <c r="U25" s="9"/>
      <c r="V25" s="9"/>
      <c r="W25" s="9"/>
      <c r="X25" s="9"/>
      <c r="Y25" s="9"/>
      <c r="Z25" s="9"/>
      <c r="AA25" s="239"/>
      <c r="AB25" s="239"/>
      <c r="AC25" s="239"/>
      <c r="AD25" s="239"/>
      <c r="AE25" s="239"/>
      <c r="AF25" s="239"/>
      <c r="AG25" s="239"/>
      <c r="AH25" s="239"/>
      <c r="AI25" s="239"/>
      <c r="AJ25" s="239"/>
      <c r="AK25" s="239"/>
      <c r="AL25" s="239"/>
      <c r="AM25" s="239"/>
      <c r="AN25" s="239"/>
      <c r="AO25" s="239"/>
      <c r="AP25" s="239"/>
      <c r="AQ25" s="239"/>
      <c r="AR25" s="239"/>
      <c r="AS25" s="10"/>
    </row>
    <row r="26" spans="1:45" ht="13.5" customHeight="1" thickBot="1" x14ac:dyDescent="0.25">
      <c r="A26" s="9"/>
      <c r="B26" s="9"/>
      <c r="C26" s="9"/>
      <c r="D26" s="9"/>
      <c r="E26" s="9"/>
      <c r="F26" s="261" t="s">
        <v>6</v>
      </c>
      <c r="G26" s="261"/>
      <c r="H26" s="261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10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  <c r="AH26" s="9"/>
      <c r="AI26" s="9"/>
      <c r="AJ26" s="9"/>
      <c r="AK26" s="261" t="s">
        <v>6</v>
      </c>
      <c r="AL26" s="261"/>
      <c r="AM26" s="261"/>
      <c r="AN26" s="9"/>
      <c r="AO26" s="9"/>
      <c r="AP26" s="9"/>
      <c r="AQ26" s="9"/>
      <c r="AR26" s="9"/>
      <c r="AS26" s="9"/>
    </row>
    <row r="27" spans="1:45" ht="13.5" customHeight="1" x14ac:dyDescent="0.2">
      <c r="A27" s="243"/>
      <c r="B27" s="244"/>
      <c r="C27" s="245"/>
      <c r="D27" s="9" t="s">
        <v>37</v>
      </c>
      <c r="E27" s="9"/>
      <c r="F27" s="261"/>
      <c r="G27" s="261"/>
      <c r="H27" s="261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10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  <c r="AH27" s="9"/>
      <c r="AI27" s="9"/>
      <c r="AJ27" s="9"/>
      <c r="AK27" s="261"/>
      <c r="AL27" s="261"/>
      <c r="AM27" s="261"/>
      <c r="AN27" s="9"/>
      <c r="AO27" s="9" t="s">
        <v>39</v>
      </c>
      <c r="AP27" s="243"/>
      <c r="AQ27" s="244"/>
      <c r="AR27" s="245"/>
      <c r="AS27" s="9"/>
    </row>
    <row r="28" spans="1:45" ht="13.5" customHeight="1" thickBot="1" x14ac:dyDescent="0.25">
      <c r="A28" s="246"/>
      <c r="B28" s="247"/>
      <c r="C28" s="248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10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246"/>
      <c r="AQ28" s="247"/>
      <c r="AR28" s="248"/>
      <c r="AS28" s="9"/>
    </row>
    <row r="29" spans="1:45" ht="13.5" customHeight="1" thickBot="1" x14ac:dyDescent="0.25">
      <c r="A29" s="249"/>
      <c r="B29" s="250"/>
      <c r="C29" s="251"/>
      <c r="D29" s="9"/>
      <c r="E29" s="9"/>
      <c r="F29" s="252"/>
      <c r="G29" s="253"/>
      <c r="H29" s="254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10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252"/>
      <c r="AL29" s="253"/>
      <c r="AM29" s="254"/>
      <c r="AN29" s="9"/>
      <c r="AO29" s="9"/>
      <c r="AP29" s="249"/>
      <c r="AQ29" s="250"/>
      <c r="AR29" s="251"/>
      <c r="AS29" s="9"/>
    </row>
    <row r="30" spans="1:45" ht="13.5" customHeight="1" x14ac:dyDescent="0.2">
      <c r="A30" s="240" t="s">
        <v>53</v>
      </c>
      <c r="B30" s="240"/>
      <c r="C30" s="240"/>
      <c r="D30" s="9"/>
      <c r="E30" s="9"/>
      <c r="F30" s="255"/>
      <c r="G30" s="256"/>
      <c r="H30" s="257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10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255"/>
      <c r="AL30" s="256"/>
      <c r="AM30" s="257"/>
      <c r="AN30" s="9"/>
      <c r="AO30" s="9"/>
      <c r="AP30" s="240" t="s">
        <v>57</v>
      </c>
      <c r="AQ30" s="240"/>
      <c r="AR30" s="240"/>
      <c r="AS30" s="9"/>
    </row>
    <row r="31" spans="1:45" ht="13.5" customHeight="1" thickBot="1" x14ac:dyDescent="0.25">
      <c r="A31" s="241"/>
      <c r="B31" s="241"/>
      <c r="C31" s="241"/>
      <c r="D31" s="9"/>
      <c r="E31" s="9"/>
      <c r="F31" s="255"/>
      <c r="G31" s="256"/>
      <c r="H31" s="257"/>
      <c r="I31" s="9"/>
      <c r="J31" s="9"/>
      <c r="K31" s="261" t="s">
        <v>5</v>
      </c>
      <c r="L31" s="261"/>
      <c r="M31" s="261"/>
      <c r="N31" s="9"/>
      <c r="O31" s="9"/>
      <c r="P31" s="9"/>
      <c r="Q31" s="9"/>
      <c r="R31" s="9"/>
      <c r="S31" s="9"/>
      <c r="T31" s="10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261" t="s">
        <v>5</v>
      </c>
      <c r="AG31" s="261"/>
      <c r="AH31" s="261"/>
      <c r="AI31" s="9"/>
      <c r="AJ31" s="9"/>
      <c r="AK31" s="255"/>
      <c r="AL31" s="256"/>
      <c r="AM31" s="257"/>
      <c r="AN31" s="9"/>
      <c r="AO31" s="9"/>
      <c r="AP31" s="241"/>
      <c r="AQ31" s="241"/>
      <c r="AR31" s="241"/>
      <c r="AS31" s="9"/>
    </row>
    <row r="32" spans="1:45" ht="13.5" customHeight="1" thickBot="1" x14ac:dyDescent="0.25">
      <c r="A32" s="243"/>
      <c r="B32" s="244"/>
      <c r="C32" s="245"/>
      <c r="D32" s="9" t="s">
        <v>38</v>
      </c>
      <c r="E32" s="9"/>
      <c r="F32" s="258"/>
      <c r="G32" s="259"/>
      <c r="H32" s="260"/>
      <c r="I32" s="9"/>
      <c r="J32" s="9"/>
      <c r="K32" s="261"/>
      <c r="L32" s="261"/>
      <c r="M32" s="261"/>
      <c r="N32" s="9"/>
      <c r="O32" s="9"/>
      <c r="P32" s="9"/>
      <c r="Q32" s="9"/>
      <c r="R32" s="9"/>
      <c r="S32" s="9"/>
      <c r="T32" s="10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261"/>
      <c r="AG32" s="261"/>
      <c r="AH32" s="261"/>
      <c r="AI32" s="9"/>
      <c r="AJ32" s="9"/>
      <c r="AK32" s="258"/>
      <c r="AL32" s="259"/>
      <c r="AM32" s="260"/>
      <c r="AN32" s="9"/>
      <c r="AO32" s="9" t="s">
        <v>40</v>
      </c>
      <c r="AP32" s="243"/>
      <c r="AQ32" s="244"/>
      <c r="AR32" s="245"/>
      <c r="AS32" s="9"/>
    </row>
    <row r="33" spans="1:45" ht="13.5" customHeight="1" thickBot="1" x14ac:dyDescent="0.25">
      <c r="A33" s="246"/>
      <c r="B33" s="247"/>
      <c r="C33" s="248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10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246"/>
      <c r="AQ33" s="247"/>
      <c r="AR33" s="248"/>
      <c r="AS33" s="9"/>
    </row>
    <row r="34" spans="1:45" ht="13.5" customHeight="1" thickBot="1" x14ac:dyDescent="0.25">
      <c r="A34" s="249"/>
      <c r="B34" s="250"/>
      <c r="C34" s="251"/>
      <c r="D34" s="9"/>
      <c r="E34" s="9"/>
      <c r="F34" s="9"/>
      <c r="G34" s="9"/>
      <c r="H34" s="9"/>
      <c r="I34" s="9"/>
      <c r="J34" s="9"/>
      <c r="K34" s="252"/>
      <c r="L34" s="253"/>
      <c r="M34" s="254"/>
      <c r="N34" s="9"/>
      <c r="O34" s="9"/>
      <c r="P34" s="9"/>
      <c r="Q34" s="9"/>
      <c r="R34" s="9"/>
      <c r="S34" s="9"/>
      <c r="T34" s="10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252"/>
      <c r="AG34" s="253"/>
      <c r="AH34" s="254"/>
      <c r="AI34" s="9"/>
      <c r="AJ34" s="9"/>
      <c r="AK34" s="9"/>
      <c r="AL34" s="9"/>
      <c r="AM34" s="9"/>
      <c r="AN34" s="9"/>
      <c r="AO34" s="9"/>
      <c r="AP34" s="249"/>
      <c r="AQ34" s="250"/>
      <c r="AR34" s="251"/>
      <c r="AS34" s="9"/>
    </row>
    <row r="35" spans="1:45" ht="13.5" customHeight="1" x14ac:dyDescent="0.2">
      <c r="A35" s="9"/>
      <c r="B35" s="9"/>
      <c r="C35" s="9"/>
      <c r="D35" s="9"/>
      <c r="E35" s="9"/>
      <c r="F35" s="242" t="s">
        <v>10</v>
      </c>
      <c r="G35" s="242"/>
      <c r="H35" s="242"/>
      <c r="I35" s="9"/>
      <c r="J35" s="9"/>
      <c r="K35" s="255"/>
      <c r="L35" s="256"/>
      <c r="M35" s="257"/>
      <c r="N35" s="9"/>
      <c r="O35" s="9"/>
      <c r="P35" s="9"/>
      <c r="Q35" s="9"/>
      <c r="R35" s="9"/>
      <c r="S35" s="9"/>
      <c r="T35" s="10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255"/>
      <c r="AG35" s="256"/>
      <c r="AH35" s="257"/>
      <c r="AI35" s="9"/>
      <c r="AJ35" s="9"/>
      <c r="AK35" s="242" t="s">
        <v>12</v>
      </c>
      <c r="AL35" s="242"/>
      <c r="AM35" s="242"/>
      <c r="AN35" s="9"/>
      <c r="AO35" s="9"/>
      <c r="AP35" s="9"/>
      <c r="AQ35" s="9"/>
      <c r="AR35" s="9"/>
      <c r="AS35" s="9"/>
    </row>
    <row r="36" spans="1:45" ht="13.5" customHeight="1" thickBot="1" x14ac:dyDescent="0.25">
      <c r="A36" s="9"/>
      <c r="B36" s="9"/>
      <c r="C36" s="9"/>
      <c r="D36" s="9"/>
      <c r="E36" s="9"/>
      <c r="F36" s="242"/>
      <c r="G36" s="242"/>
      <c r="H36" s="242"/>
      <c r="I36" s="9"/>
      <c r="J36" s="9"/>
      <c r="K36" s="255"/>
      <c r="L36" s="256"/>
      <c r="M36" s="257"/>
      <c r="N36" s="9"/>
      <c r="O36" s="9"/>
      <c r="P36" s="9"/>
      <c r="Q36" s="9"/>
      <c r="R36" s="9"/>
      <c r="S36" s="9"/>
      <c r="T36" s="10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255"/>
      <c r="AG36" s="256"/>
      <c r="AH36" s="257"/>
      <c r="AI36" s="9"/>
      <c r="AJ36" s="9"/>
      <c r="AK36" s="242"/>
      <c r="AL36" s="242"/>
      <c r="AM36" s="242"/>
      <c r="AN36" s="9"/>
      <c r="AO36" s="9"/>
      <c r="AP36" s="9"/>
      <c r="AQ36" s="9"/>
      <c r="AR36" s="9"/>
      <c r="AS36" s="9"/>
    </row>
    <row r="37" spans="1:45" ht="13.5" customHeight="1" thickBot="1" x14ac:dyDescent="0.25">
      <c r="A37" s="243"/>
      <c r="B37" s="244"/>
      <c r="C37" s="245"/>
      <c r="D37" s="9" t="s">
        <v>45</v>
      </c>
      <c r="E37" s="9"/>
      <c r="F37" s="9"/>
      <c r="G37" s="9"/>
      <c r="H37" s="9"/>
      <c r="I37" s="9"/>
      <c r="J37" s="9"/>
      <c r="K37" s="258"/>
      <c r="L37" s="259"/>
      <c r="M37" s="260"/>
      <c r="N37" s="9"/>
      <c r="O37" s="9"/>
      <c r="P37" s="9"/>
      <c r="Q37" s="9"/>
      <c r="R37" s="9"/>
      <c r="S37" s="9"/>
      <c r="T37" s="10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258"/>
      <c r="AG37" s="259"/>
      <c r="AH37" s="260"/>
      <c r="AI37" s="9"/>
      <c r="AJ37" s="9"/>
      <c r="AK37" s="9"/>
      <c r="AL37" s="9"/>
      <c r="AM37" s="9"/>
      <c r="AN37" s="9"/>
      <c r="AO37" s="9" t="s">
        <v>47</v>
      </c>
      <c r="AP37" s="243"/>
      <c r="AQ37" s="244"/>
      <c r="AR37" s="245"/>
      <c r="AS37" s="9"/>
    </row>
    <row r="38" spans="1:45" ht="13.5" customHeight="1" thickBot="1" x14ac:dyDescent="0.25">
      <c r="A38" s="246"/>
      <c r="B38" s="247"/>
      <c r="C38" s="248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10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246"/>
      <c r="AQ38" s="247"/>
      <c r="AR38" s="248"/>
      <c r="AS38" s="9"/>
    </row>
    <row r="39" spans="1:45" ht="13.5" customHeight="1" thickBot="1" x14ac:dyDescent="0.25">
      <c r="A39" s="249"/>
      <c r="B39" s="250"/>
      <c r="C39" s="251"/>
      <c r="D39" s="9"/>
      <c r="E39" s="9"/>
      <c r="F39" s="252"/>
      <c r="G39" s="253"/>
      <c r="H39" s="254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252"/>
      <c r="AL39" s="253"/>
      <c r="AM39" s="254"/>
      <c r="AN39" s="9"/>
      <c r="AO39" s="9"/>
      <c r="AP39" s="249"/>
      <c r="AQ39" s="250"/>
      <c r="AR39" s="251"/>
      <c r="AS39" s="9"/>
    </row>
    <row r="40" spans="1:45" ht="13.5" customHeight="1" x14ac:dyDescent="0.2">
      <c r="A40" s="240" t="s">
        <v>54</v>
      </c>
      <c r="B40" s="240"/>
      <c r="C40" s="240"/>
      <c r="D40" s="9"/>
      <c r="E40" s="9"/>
      <c r="F40" s="255"/>
      <c r="G40" s="256"/>
      <c r="H40" s="257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255"/>
      <c r="AL40" s="256"/>
      <c r="AM40" s="257"/>
      <c r="AN40" s="9"/>
      <c r="AO40" s="9"/>
      <c r="AP40" s="240" t="s">
        <v>58</v>
      </c>
      <c r="AQ40" s="240"/>
      <c r="AR40" s="240"/>
      <c r="AS40" s="9"/>
    </row>
    <row r="41" spans="1:45" ht="13.5" customHeight="1" thickBot="1" x14ac:dyDescent="0.4">
      <c r="A41" s="241"/>
      <c r="B41" s="241"/>
      <c r="C41" s="241"/>
      <c r="D41" s="9"/>
      <c r="E41" s="9"/>
      <c r="F41" s="255"/>
      <c r="G41" s="256"/>
      <c r="H41" s="257"/>
      <c r="I41" s="9"/>
      <c r="J41" s="9"/>
      <c r="K41" s="9"/>
      <c r="L41" s="9"/>
      <c r="M41" s="9"/>
      <c r="N41" s="9"/>
      <c r="O41" s="9"/>
      <c r="P41" s="261" t="s">
        <v>4</v>
      </c>
      <c r="Q41" s="261"/>
      <c r="R41" s="261"/>
      <c r="S41" s="12"/>
      <c r="T41" s="10"/>
      <c r="U41" s="280" t="s">
        <v>7</v>
      </c>
      <c r="V41" s="280"/>
      <c r="W41" s="280"/>
      <c r="X41" s="280"/>
      <c r="Y41" s="13"/>
      <c r="Z41" s="9"/>
      <c r="AA41" s="261" t="s">
        <v>4</v>
      </c>
      <c r="AB41" s="261"/>
      <c r="AC41" s="261"/>
      <c r="AD41" s="9"/>
      <c r="AE41" s="9"/>
      <c r="AF41" s="9"/>
      <c r="AG41" s="9"/>
      <c r="AH41" s="9"/>
      <c r="AI41" s="9"/>
      <c r="AJ41" s="9"/>
      <c r="AK41" s="255"/>
      <c r="AL41" s="256"/>
      <c r="AM41" s="257"/>
      <c r="AN41" s="9"/>
      <c r="AO41" s="9"/>
      <c r="AP41" s="241"/>
      <c r="AQ41" s="241"/>
      <c r="AR41" s="241"/>
      <c r="AS41" s="9"/>
    </row>
    <row r="42" spans="1:45" ht="24" thickBot="1" x14ac:dyDescent="0.4">
      <c r="A42" s="243"/>
      <c r="B42" s="244"/>
      <c r="C42" s="245"/>
      <c r="D42" s="9" t="s">
        <v>46</v>
      </c>
      <c r="E42" s="9"/>
      <c r="F42" s="258"/>
      <c r="G42" s="259"/>
      <c r="H42" s="260"/>
      <c r="I42" s="9"/>
      <c r="J42" s="9"/>
      <c r="K42" s="9"/>
      <c r="L42" s="9"/>
      <c r="M42" s="9"/>
      <c r="N42" s="9"/>
      <c r="O42" s="9"/>
      <c r="P42" s="261"/>
      <c r="Q42" s="261"/>
      <c r="R42" s="261"/>
      <c r="S42" s="9"/>
      <c r="T42" s="10"/>
      <c r="U42" s="280"/>
      <c r="V42" s="280"/>
      <c r="W42" s="280"/>
      <c r="X42" s="280"/>
      <c r="Y42" s="13"/>
      <c r="Z42" s="9"/>
      <c r="AA42" s="261"/>
      <c r="AB42" s="261"/>
      <c r="AC42" s="261"/>
      <c r="AD42" s="9"/>
      <c r="AE42" s="9"/>
      <c r="AF42" s="9"/>
      <c r="AG42" s="9"/>
      <c r="AH42" s="9"/>
      <c r="AI42" s="9"/>
      <c r="AJ42" s="9"/>
      <c r="AK42" s="258"/>
      <c r="AL42" s="259"/>
      <c r="AM42" s="260"/>
      <c r="AN42" s="9"/>
      <c r="AO42" s="9" t="s">
        <v>48</v>
      </c>
      <c r="AP42" s="243"/>
      <c r="AQ42" s="244"/>
      <c r="AR42" s="245"/>
      <c r="AS42" s="9"/>
    </row>
    <row r="43" spans="1:45" ht="13.5" customHeight="1" thickBot="1" x14ac:dyDescent="0.25">
      <c r="A43" s="246"/>
      <c r="B43" s="247"/>
      <c r="C43" s="248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10"/>
      <c r="Q43" s="10"/>
      <c r="R43" s="10"/>
      <c r="S43" s="10"/>
      <c r="T43" s="10"/>
      <c r="U43" s="9"/>
      <c r="V43" s="9"/>
      <c r="W43" s="9"/>
      <c r="X43" s="9"/>
      <c r="Y43" s="9"/>
      <c r="Z43" s="9"/>
      <c r="AA43" s="10"/>
      <c r="AB43" s="10"/>
      <c r="AC43" s="10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246"/>
      <c r="AQ43" s="247"/>
      <c r="AR43" s="248"/>
      <c r="AS43" s="9"/>
    </row>
    <row r="44" spans="1:45" ht="13.5" customHeight="1" thickBot="1" x14ac:dyDescent="0.25">
      <c r="A44" s="249"/>
      <c r="B44" s="250"/>
      <c r="C44" s="251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262"/>
      <c r="Q44" s="263"/>
      <c r="R44" s="264"/>
      <c r="S44" s="10"/>
      <c r="T44" s="10"/>
      <c r="U44" s="271"/>
      <c r="V44" s="272"/>
      <c r="W44" s="272"/>
      <c r="X44" s="273"/>
      <c r="Y44" s="14"/>
      <c r="Z44" s="9"/>
      <c r="AA44" s="262"/>
      <c r="AB44" s="263"/>
      <c r="AC44" s="264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249"/>
      <c r="AQ44" s="250"/>
      <c r="AR44" s="251"/>
      <c r="AS44" s="9"/>
    </row>
    <row r="45" spans="1:45" ht="29.25" customHeight="1" x14ac:dyDescent="0.2">
      <c r="A45" s="9"/>
      <c r="B45" s="9"/>
      <c r="C45" s="9"/>
      <c r="D45" s="9"/>
      <c r="E45" s="9"/>
      <c r="F45" s="9"/>
      <c r="G45" s="9"/>
      <c r="H45" s="9"/>
      <c r="I45" s="9"/>
      <c r="J45" s="9"/>
      <c r="K45" s="242" t="s">
        <v>14</v>
      </c>
      <c r="L45" s="242"/>
      <c r="M45" s="242"/>
      <c r="N45" s="9"/>
      <c r="O45" s="9"/>
      <c r="P45" s="265"/>
      <c r="Q45" s="266"/>
      <c r="R45" s="267"/>
      <c r="S45" s="10"/>
      <c r="T45" s="10"/>
      <c r="U45" s="274"/>
      <c r="V45" s="275"/>
      <c r="W45" s="275"/>
      <c r="X45" s="276"/>
      <c r="Y45" s="14"/>
      <c r="Z45" s="9"/>
      <c r="AA45" s="265"/>
      <c r="AB45" s="266"/>
      <c r="AC45" s="267"/>
      <c r="AD45" s="9"/>
      <c r="AE45" s="9"/>
      <c r="AF45" s="242" t="s">
        <v>15</v>
      </c>
      <c r="AG45" s="242"/>
      <c r="AH45" s="242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</row>
    <row r="46" spans="1:45" ht="13.5" thickBot="1" x14ac:dyDescent="0.25">
      <c r="A46" s="9"/>
      <c r="B46" s="9"/>
      <c r="C46" s="9"/>
      <c r="D46" s="9"/>
      <c r="E46" s="9"/>
      <c r="F46" s="9"/>
      <c r="G46" s="9"/>
      <c r="H46" s="9"/>
      <c r="I46" s="9"/>
      <c r="J46" s="9"/>
      <c r="K46" s="242"/>
      <c r="L46" s="242"/>
      <c r="M46" s="242"/>
      <c r="N46" s="9"/>
      <c r="O46" s="9"/>
      <c r="P46" s="265"/>
      <c r="Q46" s="266"/>
      <c r="R46" s="267"/>
      <c r="S46" s="10"/>
      <c r="T46" s="10"/>
      <c r="U46" s="274"/>
      <c r="V46" s="275"/>
      <c r="W46" s="275"/>
      <c r="X46" s="276"/>
      <c r="Y46" s="14"/>
      <c r="Z46" s="9"/>
      <c r="AA46" s="265"/>
      <c r="AB46" s="266"/>
      <c r="AC46" s="267"/>
      <c r="AD46" s="9"/>
      <c r="AE46" s="9"/>
      <c r="AF46" s="242"/>
      <c r="AG46" s="242"/>
      <c r="AH46" s="242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</row>
    <row r="47" spans="1:45" ht="13.5" customHeight="1" thickBot="1" x14ac:dyDescent="0.25">
      <c r="A47" s="243"/>
      <c r="B47" s="244"/>
      <c r="C47" s="245"/>
      <c r="D47" s="9" t="s">
        <v>51</v>
      </c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268"/>
      <c r="Q47" s="269"/>
      <c r="R47" s="270"/>
      <c r="S47" s="10"/>
      <c r="T47" s="10"/>
      <c r="U47" s="274"/>
      <c r="V47" s="275"/>
      <c r="W47" s="275"/>
      <c r="X47" s="276"/>
      <c r="Y47" s="14"/>
      <c r="Z47" s="9"/>
      <c r="AA47" s="268"/>
      <c r="AB47" s="269"/>
      <c r="AC47" s="270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 t="s">
        <v>49</v>
      </c>
      <c r="AP47" s="243"/>
      <c r="AQ47" s="244"/>
      <c r="AR47" s="245"/>
      <c r="AS47" s="9"/>
    </row>
    <row r="48" spans="1:45" ht="13.5" customHeight="1" thickBot="1" x14ac:dyDescent="0.25">
      <c r="A48" s="246"/>
      <c r="B48" s="247"/>
      <c r="C48" s="248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10"/>
      <c r="Q48" s="10"/>
      <c r="R48" s="10"/>
      <c r="S48" s="10"/>
      <c r="T48" s="9"/>
      <c r="U48" s="277"/>
      <c r="V48" s="278"/>
      <c r="W48" s="278"/>
      <c r="X48" s="279"/>
      <c r="Y48" s="14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246"/>
      <c r="AQ48" s="247"/>
      <c r="AR48" s="248"/>
      <c r="AS48" s="9"/>
    </row>
    <row r="49" spans="1:45" ht="13.5" customHeight="1" thickBot="1" x14ac:dyDescent="0.25">
      <c r="A49" s="249"/>
      <c r="B49" s="250"/>
      <c r="C49" s="251"/>
      <c r="D49" s="9"/>
      <c r="E49" s="9"/>
      <c r="F49" s="252"/>
      <c r="G49" s="253"/>
      <c r="H49" s="254"/>
      <c r="I49" s="9"/>
      <c r="J49" s="9"/>
      <c r="K49" s="9"/>
      <c r="L49" s="9"/>
      <c r="M49" s="9"/>
      <c r="N49" s="9"/>
      <c r="O49" s="9"/>
      <c r="P49" s="10"/>
      <c r="Q49" s="10"/>
      <c r="R49" s="10"/>
      <c r="S49" s="10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252"/>
      <c r="AL49" s="253"/>
      <c r="AM49" s="254"/>
      <c r="AN49" s="9"/>
      <c r="AO49" s="9"/>
      <c r="AP49" s="249"/>
      <c r="AQ49" s="250"/>
      <c r="AR49" s="251"/>
      <c r="AS49" s="9"/>
    </row>
    <row r="50" spans="1:45" ht="13.5" customHeight="1" x14ac:dyDescent="0.2">
      <c r="A50" s="240" t="s">
        <v>55</v>
      </c>
      <c r="B50" s="240"/>
      <c r="C50" s="240"/>
      <c r="D50" s="9"/>
      <c r="E50" s="9"/>
      <c r="F50" s="255"/>
      <c r="G50" s="256"/>
      <c r="H50" s="257"/>
      <c r="I50" s="9"/>
      <c r="J50" s="9"/>
      <c r="K50" s="9"/>
      <c r="L50" s="9"/>
      <c r="M50" s="9"/>
      <c r="N50" s="9"/>
      <c r="O50" s="9"/>
      <c r="P50" s="10"/>
      <c r="Q50" s="10"/>
      <c r="R50" s="10"/>
      <c r="S50" s="10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255"/>
      <c r="AL50" s="256"/>
      <c r="AM50" s="257"/>
      <c r="AN50" s="9"/>
      <c r="AO50" s="9"/>
      <c r="AP50" s="240" t="s">
        <v>59</v>
      </c>
      <c r="AQ50" s="240"/>
      <c r="AR50" s="240"/>
      <c r="AS50" s="9"/>
    </row>
    <row r="51" spans="1:45" ht="13.5" customHeight="1" thickBot="1" x14ac:dyDescent="0.25">
      <c r="A51" s="241"/>
      <c r="B51" s="241"/>
      <c r="C51" s="241"/>
      <c r="D51" s="9"/>
      <c r="E51" s="9"/>
      <c r="F51" s="255"/>
      <c r="G51" s="256"/>
      <c r="H51" s="257"/>
      <c r="I51" s="9"/>
      <c r="J51" s="9"/>
      <c r="K51" s="9"/>
      <c r="L51" s="9"/>
      <c r="M51" s="9"/>
      <c r="N51" s="9"/>
      <c r="O51" s="9"/>
      <c r="P51" s="10"/>
      <c r="Q51" s="10"/>
      <c r="R51" s="10"/>
      <c r="S51" s="10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255"/>
      <c r="AL51" s="256"/>
      <c r="AM51" s="257"/>
      <c r="AN51" s="9"/>
      <c r="AO51" s="9"/>
      <c r="AP51" s="241"/>
      <c r="AQ51" s="241"/>
      <c r="AR51" s="241"/>
      <c r="AS51" s="9"/>
    </row>
    <row r="52" spans="1:45" ht="13.5" customHeight="1" thickBot="1" x14ac:dyDescent="0.25">
      <c r="A52" s="243"/>
      <c r="B52" s="244"/>
      <c r="C52" s="245"/>
      <c r="D52" s="9" t="s">
        <v>52</v>
      </c>
      <c r="E52" s="9"/>
      <c r="F52" s="258"/>
      <c r="G52" s="259"/>
      <c r="H52" s="260"/>
      <c r="I52" s="9"/>
      <c r="J52" s="9"/>
      <c r="K52" s="9"/>
      <c r="L52" s="9"/>
      <c r="M52" s="9"/>
      <c r="N52" s="9"/>
      <c r="O52" s="9"/>
      <c r="P52" s="10"/>
      <c r="Q52" s="10"/>
      <c r="R52" s="10"/>
      <c r="S52" s="10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258"/>
      <c r="AL52" s="259"/>
      <c r="AM52" s="260"/>
      <c r="AN52" s="9"/>
      <c r="AO52" s="9" t="s">
        <v>50</v>
      </c>
      <c r="AP52" s="243"/>
      <c r="AQ52" s="244"/>
      <c r="AR52" s="245"/>
      <c r="AS52" s="9"/>
    </row>
    <row r="53" spans="1:45" ht="13.5" customHeight="1" thickBot="1" x14ac:dyDescent="0.25">
      <c r="A53" s="246"/>
      <c r="B53" s="247"/>
      <c r="C53" s="248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  <c r="P53" s="10"/>
      <c r="Q53" s="10"/>
      <c r="R53" s="10"/>
      <c r="S53" s="10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246"/>
      <c r="AQ53" s="247"/>
      <c r="AR53" s="248"/>
      <c r="AS53" s="9"/>
    </row>
    <row r="54" spans="1:45" ht="13.5" customHeight="1" thickBot="1" x14ac:dyDescent="0.25">
      <c r="A54" s="249"/>
      <c r="B54" s="250"/>
      <c r="C54" s="251"/>
      <c r="D54" s="9"/>
      <c r="E54" s="9"/>
      <c r="F54" s="9"/>
      <c r="G54" s="9"/>
      <c r="H54" s="9"/>
      <c r="I54" s="9"/>
      <c r="J54" s="9"/>
      <c r="K54" s="252"/>
      <c r="L54" s="253"/>
      <c r="M54" s="254"/>
      <c r="N54" s="9"/>
      <c r="O54" s="9"/>
      <c r="P54" s="10"/>
      <c r="Q54" s="10"/>
      <c r="R54" s="10"/>
      <c r="S54" s="10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252"/>
      <c r="AG54" s="253"/>
      <c r="AH54" s="254"/>
      <c r="AI54" s="9"/>
      <c r="AJ54" s="9"/>
      <c r="AK54" s="9"/>
      <c r="AL54" s="9"/>
      <c r="AM54" s="9"/>
      <c r="AN54" s="9"/>
      <c r="AO54" s="9"/>
      <c r="AP54" s="249"/>
      <c r="AQ54" s="250"/>
      <c r="AR54" s="251"/>
      <c r="AS54" s="9"/>
    </row>
    <row r="55" spans="1:45" ht="13.5" customHeight="1" x14ac:dyDescent="0.2">
      <c r="A55" s="9"/>
      <c r="B55" s="9"/>
      <c r="C55" s="9"/>
      <c r="D55" s="9"/>
      <c r="E55" s="9"/>
      <c r="F55" s="242" t="s">
        <v>11</v>
      </c>
      <c r="G55" s="242"/>
      <c r="H55" s="242"/>
      <c r="I55" s="9"/>
      <c r="J55" s="9"/>
      <c r="K55" s="255"/>
      <c r="L55" s="256"/>
      <c r="M55" s="257"/>
      <c r="N55" s="9"/>
      <c r="O55" s="9"/>
      <c r="P55" s="10"/>
      <c r="Q55" s="10"/>
      <c r="R55" s="10"/>
      <c r="S55" s="10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255"/>
      <c r="AG55" s="256"/>
      <c r="AH55" s="257"/>
      <c r="AI55" s="9"/>
      <c r="AJ55" s="9"/>
      <c r="AK55" s="242" t="s">
        <v>13</v>
      </c>
      <c r="AL55" s="242"/>
      <c r="AM55" s="242"/>
      <c r="AN55" s="9"/>
      <c r="AO55" s="9"/>
      <c r="AP55" s="9"/>
      <c r="AQ55" s="9"/>
      <c r="AR55" s="9"/>
      <c r="AS55" s="9"/>
    </row>
    <row r="56" spans="1:45" ht="13.5" customHeight="1" thickBot="1" x14ac:dyDescent="0.25">
      <c r="A56" s="9"/>
      <c r="B56" s="9"/>
      <c r="C56" s="9"/>
      <c r="D56" s="9"/>
      <c r="E56" s="9"/>
      <c r="F56" s="242"/>
      <c r="G56" s="242"/>
      <c r="H56" s="242"/>
      <c r="I56" s="9"/>
      <c r="J56" s="9"/>
      <c r="K56" s="255"/>
      <c r="L56" s="256"/>
      <c r="M56" s="257"/>
      <c r="N56" s="9"/>
      <c r="O56" s="9"/>
      <c r="P56" s="10"/>
      <c r="Q56" s="10"/>
      <c r="R56" s="10"/>
      <c r="S56" s="10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255"/>
      <c r="AG56" s="256"/>
      <c r="AH56" s="257"/>
      <c r="AI56" s="9"/>
      <c r="AJ56" s="9"/>
      <c r="AK56" s="242"/>
      <c r="AL56" s="242"/>
      <c r="AM56" s="242"/>
      <c r="AN56" s="9"/>
      <c r="AO56" s="9"/>
      <c r="AP56" s="9"/>
      <c r="AQ56" s="9"/>
      <c r="AR56" s="9"/>
      <c r="AS56" s="9"/>
    </row>
    <row r="57" spans="1:45" ht="13.5" customHeight="1" thickBot="1" x14ac:dyDescent="0.25">
      <c r="A57" s="243"/>
      <c r="B57" s="244"/>
      <c r="C57" s="245"/>
      <c r="D57" s="9" t="s">
        <v>43</v>
      </c>
      <c r="E57" s="9"/>
      <c r="F57" s="9"/>
      <c r="G57" s="9"/>
      <c r="H57" s="9"/>
      <c r="I57" s="9"/>
      <c r="J57" s="9"/>
      <c r="K57" s="258"/>
      <c r="L57" s="259"/>
      <c r="M57" s="260"/>
      <c r="N57" s="9"/>
      <c r="O57" s="9"/>
      <c r="P57" s="10"/>
      <c r="Q57" s="10"/>
      <c r="R57" s="10"/>
      <c r="S57" s="10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258"/>
      <c r="AG57" s="259"/>
      <c r="AH57" s="260"/>
      <c r="AI57" s="9"/>
      <c r="AJ57" s="9"/>
      <c r="AK57" s="9"/>
      <c r="AL57" s="9"/>
      <c r="AM57" s="9"/>
      <c r="AN57" s="9"/>
      <c r="AO57" s="9" t="s">
        <v>41</v>
      </c>
      <c r="AP57" s="243"/>
      <c r="AQ57" s="244"/>
      <c r="AR57" s="245"/>
      <c r="AS57" s="9"/>
    </row>
    <row r="58" spans="1:45" ht="13.5" customHeight="1" thickBot="1" x14ac:dyDescent="0.25">
      <c r="A58" s="246"/>
      <c r="B58" s="247"/>
      <c r="C58" s="248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  <c r="P58" s="10"/>
      <c r="Q58" s="10"/>
      <c r="R58" s="10"/>
      <c r="S58" s="10"/>
      <c r="T58" s="9"/>
      <c r="U58" s="9"/>
      <c r="V58" s="9"/>
      <c r="W58" s="9"/>
      <c r="X58" s="9"/>
      <c r="Y58" s="9"/>
      <c r="Z58" s="9"/>
      <c r="AA58" s="9"/>
      <c r="AB58" s="9"/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246"/>
      <c r="AQ58" s="247"/>
      <c r="AR58" s="248"/>
      <c r="AS58" s="9"/>
    </row>
    <row r="59" spans="1:45" ht="13.5" customHeight="1" thickBot="1" x14ac:dyDescent="0.25">
      <c r="A59" s="249"/>
      <c r="B59" s="250"/>
      <c r="C59" s="251"/>
      <c r="D59" s="9"/>
      <c r="E59" s="9"/>
      <c r="F59" s="252"/>
      <c r="G59" s="253"/>
      <c r="H59" s="254"/>
      <c r="I59" s="9"/>
      <c r="J59" s="9"/>
      <c r="K59" s="9"/>
      <c r="L59" s="9"/>
      <c r="M59" s="9"/>
      <c r="N59" s="9"/>
      <c r="O59" s="9"/>
      <c r="P59" s="10"/>
      <c r="Q59" s="10"/>
      <c r="R59" s="10"/>
      <c r="S59" s="10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  <c r="AH59" s="9"/>
      <c r="AI59" s="9"/>
      <c r="AJ59" s="9"/>
      <c r="AK59" s="252"/>
      <c r="AL59" s="253"/>
      <c r="AM59" s="254"/>
      <c r="AN59" s="9"/>
      <c r="AO59" s="9"/>
      <c r="AP59" s="249"/>
      <c r="AQ59" s="250"/>
      <c r="AR59" s="251"/>
      <c r="AS59" s="9"/>
    </row>
    <row r="60" spans="1:45" ht="13.5" customHeight="1" x14ac:dyDescent="0.2">
      <c r="A60" s="240" t="s">
        <v>56</v>
      </c>
      <c r="B60" s="240"/>
      <c r="C60" s="240"/>
      <c r="D60" s="9"/>
      <c r="E60" s="9"/>
      <c r="F60" s="255"/>
      <c r="G60" s="256"/>
      <c r="H60" s="257"/>
      <c r="I60" s="9"/>
      <c r="J60" s="9"/>
      <c r="K60" s="9"/>
      <c r="L60" s="9"/>
      <c r="M60" s="9"/>
      <c r="N60" s="9"/>
      <c r="O60" s="9"/>
      <c r="P60" s="10"/>
      <c r="Q60" s="10"/>
      <c r="R60" s="10"/>
      <c r="S60" s="10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9"/>
      <c r="AH60" s="9"/>
      <c r="AI60" s="9"/>
      <c r="AJ60" s="9"/>
      <c r="AK60" s="255"/>
      <c r="AL60" s="256"/>
      <c r="AM60" s="257"/>
      <c r="AN60" s="9"/>
      <c r="AO60" s="9"/>
      <c r="AP60" s="240" t="s">
        <v>60</v>
      </c>
      <c r="AQ60" s="240"/>
      <c r="AR60" s="240"/>
      <c r="AS60" s="9"/>
    </row>
    <row r="61" spans="1:45" ht="13.5" customHeight="1" thickBot="1" x14ac:dyDescent="0.25">
      <c r="A61" s="241"/>
      <c r="B61" s="241"/>
      <c r="C61" s="241"/>
      <c r="D61" s="9"/>
      <c r="E61" s="9"/>
      <c r="F61" s="255"/>
      <c r="G61" s="256"/>
      <c r="H61" s="257"/>
      <c r="I61" s="9"/>
      <c r="J61" s="9"/>
      <c r="K61" s="9"/>
      <c r="L61" s="9"/>
      <c r="M61" s="9"/>
      <c r="N61" s="9"/>
      <c r="O61" s="9"/>
      <c r="P61" s="10"/>
      <c r="Q61" s="10"/>
      <c r="R61" s="10"/>
      <c r="S61" s="10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  <c r="AH61" s="9"/>
      <c r="AI61" s="9"/>
      <c r="AJ61" s="9"/>
      <c r="AK61" s="255"/>
      <c r="AL61" s="256"/>
      <c r="AM61" s="257"/>
      <c r="AN61" s="9"/>
      <c r="AO61" s="9"/>
      <c r="AP61" s="241"/>
      <c r="AQ61" s="241"/>
      <c r="AR61" s="241"/>
      <c r="AS61" s="9"/>
    </row>
    <row r="62" spans="1:45" ht="13.5" customHeight="1" thickBot="1" x14ac:dyDescent="0.25">
      <c r="A62" s="243"/>
      <c r="B62" s="244"/>
      <c r="C62" s="245"/>
      <c r="D62" s="9" t="s">
        <v>44</v>
      </c>
      <c r="E62" s="9"/>
      <c r="F62" s="258"/>
      <c r="G62" s="259"/>
      <c r="H62" s="260"/>
      <c r="I62" s="9"/>
      <c r="J62" s="9"/>
      <c r="K62" s="9"/>
      <c r="L62" s="9"/>
      <c r="M62" s="9"/>
      <c r="N62" s="9"/>
      <c r="O62" s="9"/>
      <c r="P62" s="10"/>
      <c r="Q62" s="10"/>
      <c r="R62" s="10"/>
      <c r="S62" s="10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258"/>
      <c r="AL62" s="259"/>
      <c r="AM62" s="260"/>
      <c r="AN62" s="9"/>
      <c r="AO62" s="9" t="s">
        <v>42</v>
      </c>
      <c r="AP62" s="243"/>
      <c r="AQ62" s="244"/>
      <c r="AR62" s="245"/>
      <c r="AS62" s="9"/>
    </row>
    <row r="63" spans="1:45" ht="13.5" customHeight="1" x14ac:dyDescent="0.2">
      <c r="A63" s="246"/>
      <c r="B63" s="247"/>
      <c r="C63" s="248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10"/>
      <c r="Q63" s="10"/>
      <c r="R63" s="10"/>
      <c r="S63" s="10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246"/>
      <c r="AQ63" s="247"/>
      <c r="AR63" s="248"/>
      <c r="AS63" s="9"/>
    </row>
    <row r="64" spans="1:45" ht="13.5" customHeight="1" thickBot="1" x14ac:dyDescent="0.25">
      <c r="A64" s="249"/>
      <c r="B64" s="250"/>
      <c r="C64" s="251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  <c r="P64" s="10"/>
      <c r="Q64" s="10"/>
      <c r="R64" s="10"/>
      <c r="S64" s="10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249"/>
      <c r="AQ64" s="250"/>
      <c r="AR64" s="251"/>
      <c r="AS64" s="9"/>
    </row>
    <row r="65" spans="1:48" ht="13.5" customHeight="1" x14ac:dyDescent="0.2">
      <c r="A65" s="11"/>
      <c r="B65" s="11"/>
      <c r="C65" s="11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  <c r="P65" s="10"/>
      <c r="Q65" s="10"/>
      <c r="R65" s="10"/>
      <c r="S65" s="10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</row>
    <row r="66" spans="1:48" ht="13.5" customHeight="1" x14ac:dyDescent="0.2">
      <c r="A66" s="11"/>
      <c r="B66" s="11"/>
      <c r="C66" s="11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  <c r="P66" s="10"/>
      <c r="Q66" s="10"/>
      <c r="R66" s="10"/>
      <c r="S66" s="10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V66" s="219" t="s">
        <v>200</v>
      </c>
    </row>
    <row r="67" spans="1:48" ht="13.5" customHeight="1" x14ac:dyDescent="0.2">
      <c r="A67" s="11"/>
      <c r="B67" s="11"/>
      <c r="C67" s="11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  <c r="P67" s="10"/>
      <c r="Q67" s="10"/>
      <c r="R67" s="10"/>
      <c r="S67" s="10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</row>
    <row r="68" spans="1:48" ht="13.5" customHeight="1" x14ac:dyDescent="0.2">
      <c r="A68" s="9"/>
      <c r="B68" s="9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</row>
    <row r="69" spans="1:48" ht="13.5" customHeight="1" x14ac:dyDescent="0.2">
      <c r="A69" s="9"/>
      <c r="B69" s="9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</row>
    <row r="70" spans="1:48" ht="13.5" customHeight="1" x14ac:dyDescent="0.2">
      <c r="A70" s="9"/>
      <c r="B70" s="9"/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</row>
    <row r="71" spans="1:48" ht="13.5" customHeight="1" x14ac:dyDescent="0.2">
      <c r="A71" s="9"/>
      <c r="B71" s="9"/>
      <c r="C71" s="9"/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</row>
    <row r="72" spans="1:48" ht="13.5" customHeight="1" x14ac:dyDescent="0.2">
      <c r="A72" s="9"/>
      <c r="B72" s="9"/>
      <c r="C72" s="9"/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</row>
    <row r="73" spans="1:48" ht="13.5" customHeight="1" x14ac:dyDescent="0.2">
      <c r="A73" s="9"/>
      <c r="B73" s="9"/>
      <c r="C73" s="9"/>
      <c r="D73" s="9"/>
      <c r="E73" s="9"/>
      <c r="F73" s="9"/>
      <c r="G73" s="9"/>
      <c r="H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  <c r="AB73" s="9"/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</row>
    <row r="74" spans="1:48" ht="13.5" customHeight="1" x14ac:dyDescent="0.2">
      <c r="A74" s="9"/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</row>
    <row r="75" spans="1:48" ht="13.5" customHeight="1" x14ac:dyDescent="0.2">
      <c r="A75" s="9"/>
      <c r="B75" s="9"/>
      <c r="C75" s="9"/>
      <c r="D75" s="9"/>
      <c r="E75" s="9"/>
      <c r="F75" s="9"/>
      <c r="G75" s="9"/>
      <c r="H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</row>
    <row r="76" spans="1:48" ht="13.5" customHeight="1" x14ac:dyDescent="0.2">
      <c r="A76" s="9"/>
      <c r="B76" s="9"/>
      <c r="C76" s="9"/>
      <c r="D76" s="9"/>
      <c r="E76" s="9"/>
      <c r="F76" s="9"/>
      <c r="G76" s="9"/>
      <c r="H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</row>
    <row r="77" spans="1:48" ht="13.5" customHeight="1" x14ac:dyDescent="0.2">
      <c r="A77" s="9"/>
      <c r="B77" s="9"/>
      <c r="C77" s="9"/>
      <c r="D77" s="9"/>
      <c r="E77" s="9"/>
      <c r="F77" s="9"/>
      <c r="G77" s="9"/>
      <c r="H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</row>
    <row r="78" spans="1:48" ht="13.5" customHeight="1" x14ac:dyDescent="0.2">
      <c r="A78" s="9"/>
      <c r="B78" s="9"/>
      <c r="C78" s="9"/>
      <c r="D78" s="9"/>
      <c r="E78" s="9"/>
      <c r="F78" s="9"/>
      <c r="G78" s="9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</row>
    <row r="79" spans="1:48" ht="13.5" customHeight="1" x14ac:dyDescent="0.2">
      <c r="A79" s="9"/>
      <c r="B79" s="9"/>
      <c r="C79" s="9"/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</row>
    <row r="80" spans="1:48" ht="13.5" customHeight="1" x14ac:dyDescent="0.2">
      <c r="A80" s="9"/>
      <c r="B80" s="9"/>
      <c r="C80" s="9"/>
      <c r="D80" s="9"/>
      <c r="E80" s="9"/>
      <c r="F80" s="9"/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</row>
    <row r="81" spans="1:45" ht="13.5" customHeight="1" x14ac:dyDescent="0.2">
      <c r="A81" s="9"/>
      <c r="B81" s="9"/>
      <c r="C81" s="9"/>
      <c r="D81" s="9"/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  <c r="AB81" s="9"/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</row>
    <row r="82" spans="1:45" ht="13.5" customHeight="1" x14ac:dyDescent="0.2"/>
    <row r="83" spans="1:45" ht="13.5" customHeight="1" x14ac:dyDescent="0.2"/>
    <row r="84" spans="1:45" ht="13.5" customHeight="1" x14ac:dyDescent="0.2"/>
  </sheetData>
  <sheetProtection selectLockedCells="1"/>
  <mergeCells count="54">
    <mergeCell ref="A37:C39"/>
    <mergeCell ref="A42:C44"/>
    <mergeCell ref="F35:H36"/>
    <mergeCell ref="AP27:AR29"/>
    <mergeCell ref="AP32:AR34"/>
    <mergeCell ref="AK26:AM27"/>
    <mergeCell ref="AK29:AM32"/>
    <mergeCell ref="P44:R47"/>
    <mergeCell ref="P41:R42"/>
    <mergeCell ref="F26:H27"/>
    <mergeCell ref="AP47:AR49"/>
    <mergeCell ref="AK49:AM52"/>
    <mergeCell ref="AP52:AR54"/>
    <mergeCell ref="AF54:AH57"/>
    <mergeCell ref="AK39:AM42"/>
    <mergeCell ref="A52:C54"/>
    <mergeCell ref="AA44:AC47"/>
    <mergeCell ref="AF31:AH32"/>
    <mergeCell ref="U44:X48"/>
    <mergeCell ref="U41:X42"/>
    <mergeCell ref="AF34:AH37"/>
    <mergeCell ref="AA41:AC42"/>
    <mergeCell ref="A62:C64"/>
    <mergeCell ref="F49:H52"/>
    <mergeCell ref="F59:H62"/>
    <mergeCell ref="K34:M37"/>
    <mergeCell ref="A30:C31"/>
    <mergeCell ref="A40:C41"/>
    <mergeCell ref="A50:C51"/>
    <mergeCell ref="F39:H42"/>
    <mergeCell ref="K54:M57"/>
    <mergeCell ref="F55:H56"/>
    <mergeCell ref="A57:C59"/>
    <mergeCell ref="K31:M32"/>
    <mergeCell ref="A47:C49"/>
    <mergeCell ref="F29:H32"/>
    <mergeCell ref="A27:C29"/>
    <mergeCell ref="A32:C34"/>
    <mergeCell ref="A23:R25"/>
    <mergeCell ref="AA23:AR25"/>
    <mergeCell ref="A60:C61"/>
    <mergeCell ref="AP30:AR31"/>
    <mergeCell ref="AP40:AR41"/>
    <mergeCell ref="AP50:AR51"/>
    <mergeCell ref="AP60:AR61"/>
    <mergeCell ref="K45:M46"/>
    <mergeCell ref="AF45:AH46"/>
    <mergeCell ref="AK55:AM56"/>
    <mergeCell ref="AP37:AR39"/>
    <mergeCell ref="AP42:AR44"/>
    <mergeCell ref="AK35:AM36"/>
    <mergeCell ref="AP57:AR59"/>
    <mergeCell ref="AK59:AM62"/>
    <mergeCell ref="AP62:AR64"/>
  </mergeCells>
  <phoneticPr fontId="4" type="noConversion"/>
  <pageMargins left="0.75" right="0.75" top="1" bottom="1" header="0.5" footer="0.5"/>
  <pageSetup scale="71" orientation="landscape" r:id="rId1"/>
  <headerFooter alignWithMargins="0"/>
  <colBreaks count="2" manualBreakCount="2">
    <brk id="19" min="22" max="63" man="1"/>
    <brk id="25" min="22" max="63" man="1"/>
  </col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7">
    <tabColor theme="6" tint="0.59999389629810485"/>
  </sheetPr>
  <dimension ref="A1:N88"/>
  <sheetViews>
    <sheetView tabSelected="1" zoomScaleNormal="100" workbookViewId="0">
      <selection activeCell="D12" sqref="D12"/>
    </sheetView>
  </sheetViews>
  <sheetFormatPr defaultColWidth="9.140625" defaultRowHeight="15.75" x14ac:dyDescent="0.25"/>
  <cols>
    <col min="1" max="1" width="9.140625" style="1"/>
    <col min="2" max="2" width="10.140625" style="50" bestFit="1" customWidth="1"/>
    <col min="3" max="3" width="42.42578125" style="1" customWidth="1"/>
    <col min="4" max="7" width="7.7109375" style="1" customWidth="1"/>
    <col min="8" max="8" width="8" style="1" bestFit="1" customWidth="1"/>
    <col min="9" max="9" width="7" style="50" hidden="1" customWidth="1"/>
    <col min="10" max="10" width="2.42578125" style="1" customWidth="1"/>
    <col min="11" max="16384" width="9.140625" style="1"/>
  </cols>
  <sheetData>
    <row r="1" spans="1:14" ht="48.75" customHeight="1" x14ac:dyDescent="0.25">
      <c r="A1" s="281" t="s">
        <v>270</v>
      </c>
      <c r="B1" s="281"/>
      <c r="C1" s="281"/>
      <c r="D1" s="281"/>
      <c r="E1" s="281"/>
      <c r="F1" s="281"/>
      <c r="G1" s="281"/>
      <c r="H1" s="281"/>
      <c r="I1" s="281"/>
    </row>
    <row r="2" spans="1:14" ht="3.75" customHeight="1" x14ac:dyDescent="0.25">
      <c r="A2" s="281"/>
      <c r="B2" s="281"/>
      <c r="C2" s="281"/>
      <c r="D2" s="281"/>
      <c r="E2" s="281"/>
      <c r="F2" s="281"/>
      <c r="G2" s="281"/>
      <c r="H2" s="281"/>
      <c r="I2" s="281"/>
    </row>
    <row r="3" spans="1:14" ht="3.75" customHeight="1" x14ac:dyDescent="0.35">
      <c r="B3" s="214"/>
    </row>
    <row r="4" spans="1:14" ht="18.75" hidden="1" customHeight="1" x14ac:dyDescent="0.25">
      <c r="B4" s="51">
        <v>1</v>
      </c>
      <c r="C4" s="7">
        <v>2</v>
      </c>
      <c r="D4" s="7">
        <v>3</v>
      </c>
      <c r="E4" s="7">
        <v>4</v>
      </c>
      <c r="F4" s="7">
        <v>5</v>
      </c>
      <c r="G4" s="7">
        <v>6</v>
      </c>
      <c r="H4" s="7">
        <v>7</v>
      </c>
      <c r="I4" s="51">
        <v>8</v>
      </c>
    </row>
    <row r="5" spans="1:14" s="4" customFormat="1" ht="15" hidden="1" customHeight="1" x14ac:dyDescent="0.2">
      <c r="B5" s="51"/>
      <c r="C5" s="7"/>
      <c r="D5" s="7">
        <v>1</v>
      </c>
      <c r="E5" s="7">
        <v>2</v>
      </c>
      <c r="F5" s="7">
        <v>3</v>
      </c>
      <c r="G5" s="7">
        <v>4</v>
      </c>
      <c r="H5" s="7">
        <v>5</v>
      </c>
      <c r="I5" s="51">
        <v>6</v>
      </c>
    </row>
    <row r="6" spans="1:14" ht="16.5" thickBot="1" x14ac:dyDescent="0.3">
      <c r="B6" s="216"/>
      <c r="D6" s="230" t="s">
        <v>30</v>
      </c>
      <c r="E6" s="230"/>
      <c r="F6" s="230"/>
      <c r="G6" s="230"/>
    </row>
    <row r="7" spans="1:14" s="5" customFormat="1" ht="63" customHeight="1" x14ac:dyDescent="0.2">
      <c r="B7" s="42" t="s">
        <v>24</v>
      </c>
      <c r="C7" s="43" t="s">
        <v>25</v>
      </c>
      <c r="D7" s="49" t="s">
        <v>29</v>
      </c>
      <c r="E7" s="49" t="s">
        <v>31</v>
      </c>
      <c r="F7" s="49" t="s">
        <v>32</v>
      </c>
      <c r="G7" s="49" t="s">
        <v>188</v>
      </c>
      <c r="H7" s="44" t="s">
        <v>35</v>
      </c>
      <c r="I7" s="45" t="s">
        <v>36</v>
      </c>
      <c r="K7" s="215" t="s">
        <v>189</v>
      </c>
      <c r="L7" s="215" t="s">
        <v>190</v>
      </c>
      <c r="M7" s="215" t="s">
        <v>191</v>
      </c>
      <c r="N7" s="215" t="s">
        <v>192</v>
      </c>
    </row>
    <row r="8" spans="1:14" s="4" customFormat="1" ht="12.75" x14ac:dyDescent="0.2">
      <c r="A8" s="5"/>
      <c r="B8" s="217">
        <f>IF(Teams!B3="","",Teams!B3)</f>
        <v>3549</v>
      </c>
      <c r="C8" s="18" t="str">
        <f>IF(Teams!C3="","",Teams!C3)</f>
        <v>Robotic Ruins</v>
      </c>
      <c r="D8" s="19">
        <v>100</v>
      </c>
      <c r="E8" s="19"/>
      <c r="F8" s="19"/>
      <c r="G8" s="19"/>
      <c r="H8" s="27">
        <f t="shared" ref="H8:H48" si="0">MAX(D8:G8)</f>
        <v>100</v>
      </c>
      <c r="I8" s="52">
        <f>IF(H8&gt;MEDIAN(H$8:H$34),1,0)</f>
        <v>1</v>
      </c>
      <c r="K8" s="19"/>
      <c r="L8" s="19"/>
      <c r="M8" s="19"/>
      <c r="N8" s="19"/>
    </row>
    <row r="9" spans="1:14" s="4" customFormat="1" ht="12.75" x14ac:dyDescent="0.2">
      <c r="A9" s="5"/>
      <c r="B9" s="217">
        <f>IF(Teams!B4="","",Teams!B4)</f>
        <v>3649</v>
      </c>
      <c r="C9" s="18" t="str">
        <f>IF(Teams!C4="","",Teams!C4)</f>
        <v>The Gold Miners</v>
      </c>
      <c r="D9" s="19">
        <v>50</v>
      </c>
      <c r="E9" s="19"/>
      <c r="F9" s="19"/>
      <c r="G9" s="19"/>
      <c r="H9" s="27">
        <f t="shared" si="0"/>
        <v>50</v>
      </c>
      <c r="I9" s="52">
        <f t="shared" ref="I9:I34" si="1">IF(H9&gt;MEDIAN(H$8:H$34),1,0)</f>
        <v>1</v>
      </c>
      <c r="K9" s="19"/>
      <c r="L9" s="19"/>
      <c r="M9" s="19"/>
      <c r="N9" s="19"/>
    </row>
    <row r="10" spans="1:14" s="4" customFormat="1" ht="12.75" x14ac:dyDescent="0.2">
      <c r="A10" s="5"/>
      <c r="B10" s="217">
        <f>IF(Teams!B5="","",Teams!B5)</f>
        <v>16821</v>
      </c>
      <c r="C10" s="18" t="str">
        <f>IF(Teams!C5="","",Teams!C5)</f>
        <v>Robotic Knighthawks</v>
      </c>
      <c r="D10" s="19">
        <v>25</v>
      </c>
      <c r="E10" s="19"/>
      <c r="F10" s="19"/>
      <c r="G10" s="19"/>
      <c r="H10" s="27">
        <f t="shared" si="0"/>
        <v>25</v>
      </c>
      <c r="I10" s="52">
        <f t="shared" si="1"/>
        <v>1</v>
      </c>
      <c r="K10" s="19"/>
      <c r="L10" s="19"/>
      <c r="M10" s="19"/>
      <c r="N10" s="19"/>
    </row>
    <row r="11" spans="1:14" s="4" customFormat="1" ht="12.75" x14ac:dyDescent="0.2">
      <c r="A11" s="5"/>
      <c r="B11" s="217">
        <f>IF(Teams!B6="","",Teams!B6)</f>
        <v>17791</v>
      </c>
      <c r="C11" s="18" t="str">
        <f>IF(Teams!C6="","",Teams!C6)</f>
        <v>Artifact Maniacs</v>
      </c>
      <c r="D11" s="19">
        <v>0</v>
      </c>
      <c r="E11" s="19"/>
      <c r="F11" s="19"/>
      <c r="G11" s="19"/>
      <c r="H11" s="27">
        <f t="shared" si="0"/>
        <v>0</v>
      </c>
      <c r="I11" s="52">
        <f t="shared" si="1"/>
        <v>0</v>
      </c>
      <c r="K11" s="19"/>
      <c r="L11" s="19"/>
      <c r="M11" s="19"/>
      <c r="N11" s="19"/>
    </row>
    <row r="12" spans="1:14" s="4" customFormat="1" ht="12.75" x14ac:dyDescent="0.2">
      <c r="A12" s="5"/>
      <c r="B12" s="217">
        <f>IF(Teams!B7="","",Teams!B7)</f>
        <v>17981</v>
      </c>
      <c r="C12" s="18" t="str">
        <f>IF(Teams!C7="","",Teams!C7)</f>
        <v>Techno Bananas</v>
      </c>
      <c r="D12" s="19"/>
      <c r="E12" s="19"/>
      <c r="F12" s="19"/>
      <c r="G12" s="19"/>
      <c r="H12" s="27">
        <f t="shared" si="0"/>
        <v>0</v>
      </c>
      <c r="I12" s="52">
        <f t="shared" si="1"/>
        <v>0</v>
      </c>
      <c r="K12" s="19"/>
      <c r="L12" s="19"/>
      <c r="M12" s="19"/>
      <c r="N12" s="19"/>
    </row>
    <row r="13" spans="1:14" s="4" customFormat="1" ht="12.75" x14ac:dyDescent="0.2">
      <c r="A13" s="5"/>
      <c r="B13" s="217">
        <f>IF(Teams!B8="","",Teams!B8)</f>
        <v>22287</v>
      </c>
      <c r="C13" s="18" t="str">
        <f>IF(Teams!C8="","",Teams!C8)</f>
        <v>Morgan Elementary Sharks</v>
      </c>
      <c r="D13" s="19"/>
      <c r="E13" s="19"/>
      <c r="F13" s="19"/>
      <c r="G13" s="19"/>
      <c r="H13" s="27">
        <f t="shared" si="0"/>
        <v>0</v>
      </c>
      <c r="I13" s="52">
        <f t="shared" si="1"/>
        <v>0</v>
      </c>
      <c r="K13" s="19"/>
      <c r="L13" s="19"/>
      <c r="M13" s="19"/>
      <c r="N13" s="19"/>
    </row>
    <row r="14" spans="1:14" s="4" customFormat="1" ht="12.75" x14ac:dyDescent="0.2">
      <c r="A14" s="5"/>
      <c r="B14" s="217">
        <f>IF(Teams!B9="","",Teams!B9)</f>
        <v>23817</v>
      </c>
      <c r="C14" s="18" t="str">
        <f>IF(Teams!C9="","",Teams!C9)</f>
        <v>Astro Knighthawks</v>
      </c>
      <c r="D14" s="19"/>
      <c r="E14" s="19"/>
      <c r="F14" s="19"/>
      <c r="G14" s="19"/>
      <c r="H14" s="27">
        <f t="shared" si="0"/>
        <v>0</v>
      </c>
      <c r="I14" s="52">
        <f t="shared" si="1"/>
        <v>0</v>
      </c>
      <c r="K14" s="19"/>
      <c r="L14" s="19"/>
      <c r="M14" s="19"/>
      <c r="N14" s="19"/>
    </row>
    <row r="15" spans="1:14" s="4" customFormat="1" ht="12.75" x14ac:dyDescent="0.2">
      <c r="A15" s="5"/>
      <c r="B15" s="217">
        <f>IF(Teams!B10="","",Teams!B10)</f>
        <v>25341</v>
      </c>
      <c r="C15" s="18" t="str">
        <f>IF(Teams!C10="","",Teams!C10)</f>
        <v>Techno Tie-Dye Tater Tots</v>
      </c>
      <c r="D15" s="19"/>
      <c r="E15" s="19"/>
      <c r="F15" s="19"/>
      <c r="G15" s="19"/>
      <c r="H15" s="27">
        <f t="shared" si="0"/>
        <v>0</v>
      </c>
      <c r="I15" s="52">
        <f t="shared" si="1"/>
        <v>0</v>
      </c>
      <c r="K15" s="19"/>
      <c r="L15" s="19"/>
      <c r="M15" s="19"/>
      <c r="N15" s="19"/>
    </row>
    <row r="16" spans="1:14" s="4" customFormat="1" ht="12.75" x14ac:dyDescent="0.2">
      <c r="A16" s="5"/>
      <c r="B16" s="217">
        <f>IF(Teams!B11="","",Teams!B11)</f>
        <v>27540</v>
      </c>
      <c r="C16" s="18" t="str">
        <f>IF(Teams!C11="","",Teams!C11)</f>
        <v>Bionic Eagles</v>
      </c>
      <c r="D16" s="19"/>
      <c r="E16" s="19"/>
      <c r="F16" s="19"/>
      <c r="G16" s="19"/>
      <c r="H16" s="27">
        <f t="shared" si="0"/>
        <v>0</v>
      </c>
      <c r="I16" s="52">
        <f t="shared" si="1"/>
        <v>0</v>
      </c>
      <c r="K16" s="19"/>
      <c r="L16" s="19"/>
      <c r="M16" s="19"/>
      <c r="N16" s="19"/>
    </row>
    <row r="17" spans="1:14" s="4" customFormat="1" ht="12.75" x14ac:dyDescent="0.2">
      <c r="A17" s="5"/>
      <c r="B17" s="217">
        <f>IF(Teams!B12="","",Teams!B12)</f>
        <v>29548</v>
      </c>
      <c r="C17" s="18" t="str">
        <f>IF(Teams!C12="","",Teams!C12)</f>
        <v>Ferndroids</v>
      </c>
      <c r="D17" s="19"/>
      <c r="E17" s="19"/>
      <c r="F17" s="19"/>
      <c r="G17" s="19"/>
      <c r="H17" s="27">
        <f t="shared" si="0"/>
        <v>0</v>
      </c>
      <c r="I17" s="52">
        <f t="shared" si="1"/>
        <v>0</v>
      </c>
      <c r="K17" s="19"/>
      <c r="L17" s="19"/>
      <c r="M17" s="19"/>
      <c r="N17" s="19"/>
    </row>
    <row r="18" spans="1:14" s="4" customFormat="1" ht="12.75" x14ac:dyDescent="0.2">
      <c r="A18" s="5"/>
      <c r="B18" s="217">
        <f>IF(Teams!B13="","",Teams!B13)</f>
        <v>31568</v>
      </c>
      <c r="C18" s="18" t="str">
        <f>IF(Teams!C13="","",Teams!C13)</f>
        <v>Robonauts</v>
      </c>
      <c r="D18" s="19"/>
      <c r="E18" s="19"/>
      <c r="F18" s="19"/>
      <c r="G18" s="19"/>
      <c r="H18" s="27">
        <f t="shared" si="0"/>
        <v>0</v>
      </c>
      <c r="I18" s="52">
        <f t="shared" si="1"/>
        <v>0</v>
      </c>
      <c r="K18" s="19"/>
      <c r="L18" s="19"/>
      <c r="M18" s="19"/>
      <c r="N18" s="19"/>
    </row>
    <row r="19" spans="1:14" s="4" customFormat="1" ht="12.75" x14ac:dyDescent="0.2">
      <c r="A19" s="5"/>
      <c r="B19" s="217">
        <f>IF(Teams!B14="","",Teams!B14)</f>
        <v>31757</v>
      </c>
      <c r="C19" s="18" t="str">
        <f>IF(Teams!C14="","",Teams!C14)</f>
        <v>Techno Titans</v>
      </c>
      <c r="D19" s="19"/>
      <c r="E19" s="19"/>
      <c r="F19" s="19"/>
      <c r="G19" s="19"/>
      <c r="H19" s="27">
        <f t="shared" si="0"/>
        <v>0</v>
      </c>
      <c r="I19" s="52">
        <f t="shared" si="1"/>
        <v>0</v>
      </c>
      <c r="K19" s="19"/>
      <c r="L19" s="19"/>
      <c r="M19" s="19"/>
      <c r="N19" s="19"/>
    </row>
    <row r="20" spans="1:14" s="4" customFormat="1" ht="12.75" x14ac:dyDescent="0.2">
      <c r="A20" s="5"/>
      <c r="B20" s="217">
        <f>IF(Teams!B15="","",Teams!B15)</f>
        <v>36765</v>
      </c>
      <c r="C20" s="18" t="str">
        <f>IF(Teams!C15="","",Teams!C15)</f>
        <v>The Fire Starters</v>
      </c>
      <c r="D20" s="19"/>
      <c r="E20" s="19"/>
      <c r="F20" s="19"/>
      <c r="G20" s="19"/>
      <c r="H20" s="27">
        <f t="shared" si="0"/>
        <v>0</v>
      </c>
      <c r="I20" s="52">
        <f t="shared" si="1"/>
        <v>0</v>
      </c>
      <c r="K20" s="19"/>
      <c r="L20" s="19"/>
      <c r="M20" s="19"/>
      <c r="N20" s="19"/>
    </row>
    <row r="21" spans="1:14" s="4" customFormat="1" ht="12.75" x14ac:dyDescent="0.2">
      <c r="A21" s="5"/>
      <c r="B21" s="217">
        <f>IF(Teams!B16="","",Teams!B16)</f>
        <v>37642</v>
      </c>
      <c r="C21" s="18" t="str">
        <f>IF(Teams!C16="","",Teams!C16)</f>
        <v>Webber Dragonbots</v>
      </c>
      <c r="D21" s="19"/>
      <c r="E21" s="19"/>
      <c r="F21" s="19"/>
      <c r="G21" s="19"/>
      <c r="H21" s="27">
        <f t="shared" si="0"/>
        <v>0</v>
      </c>
      <c r="I21" s="52">
        <f t="shared" si="1"/>
        <v>0</v>
      </c>
      <c r="K21" s="19"/>
      <c r="L21" s="19"/>
      <c r="M21" s="19"/>
      <c r="N21" s="19"/>
    </row>
    <row r="22" spans="1:14" s="4" customFormat="1" ht="12.75" x14ac:dyDescent="0.2">
      <c r="A22" s="5"/>
      <c r="B22" s="217">
        <f>IF(Teams!B17="","",Teams!B17)</f>
        <v>38849</v>
      </c>
      <c r="C22" s="18" t="str">
        <f>IF(Teams!C17="","",Teams!C17)</f>
        <v>Snacks &amp; Gears Engineers</v>
      </c>
      <c r="D22" s="19"/>
      <c r="E22" s="19"/>
      <c r="F22" s="19"/>
      <c r="G22" s="19"/>
      <c r="H22" s="27">
        <f t="shared" si="0"/>
        <v>0</v>
      </c>
      <c r="I22" s="52">
        <f t="shared" si="1"/>
        <v>0</v>
      </c>
      <c r="K22" s="19"/>
      <c r="L22" s="19"/>
      <c r="M22" s="19"/>
      <c r="N22" s="19"/>
    </row>
    <row r="23" spans="1:14" s="4" customFormat="1" ht="12.75" x14ac:dyDescent="0.2">
      <c r="A23" s="5"/>
      <c r="B23" s="217">
        <f>IF(Teams!B18="","",Teams!B18)</f>
        <v>39483</v>
      </c>
      <c r="C23" s="18" t="str">
        <f>IF(Teams!C18="","",Teams!C18)</f>
        <v>The Excavators</v>
      </c>
      <c r="D23" s="19"/>
      <c r="E23" s="19"/>
      <c r="F23" s="19"/>
      <c r="G23" s="19"/>
      <c r="H23" s="27">
        <f t="shared" si="0"/>
        <v>0</v>
      </c>
      <c r="I23" s="52">
        <f t="shared" si="1"/>
        <v>0</v>
      </c>
      <c r="K23" s="19"/>
      <c r="L23" s="19"/>
      <c r="M23" s="19"/>
      <c r="N23" s="19"/>
    </row>
    <row r="24" spans="1:14" s="4" customFormat="1" ht="12.75" x14ac:dyDescent="0.2">
      <c r="A24" s="5"/>
      <c r="B24" s="217">
        <f>IF(Teams!B19="","",Teams!B19)</f>
        <v>39827</v>
      </c>
      <c r="C24" s="18" t="str">
        <f>IF(Teams!C19="","",Teams!C19)</f>
        <v>Stadium Dragons</v>
      </c>
      <c r="D24" s="19"/>
      <c r="E24" s="19"/>
      <c r="F24" s="19"/>
      <c r="G24" s="19"/>
      <c r="H24" s="27">
        <f t="shared" si="0"/>
        <v>0</v>
      </c>
      <c r="I24" s="52">
        <f t="shared" si="1"/>
        <v>0</v>
      </c>
      <c r="K24" s="19"/>
      <c r="L24" s="19"/>
      <c r="M24" s="19"/>
      <c r="N24" s="19"/>
    </row>
    <row r="25" spans="1:14" s="4" customFormat="1" ht="12.75" x14ac:dyDescent="0.2">
      <c r="A25" s="5"/>
      <c r="B25" s="217">
        <f>IF(Teams!B20="","",Teams!B20)</f>
        <v>44281</v>
      </c>
      <c r="C25" s="18" t="str">
        <f>IF(Teams!C20="","",Teams!C20)</f>
        <v>Mini Miners</v>
      </c>
      <c r="D25" s="19"/>
      <c r="E25" s="19"/>
      <c r="F25" s="19"/>
      <c r="G25" s="19"/>
      <c r="H25" s="27">
        <f t="shared" si="0"/>
        <v>0</v>
      </c>
      <c r="I25" s="52">
        <f t="shared" si="1"/>
        <v>0</v>
      </c>
      <c r="K25" s="19"/>
      <c r="L25" s="19"/>
      <c r="M25" s="19"/>
      <c r="N25" s="19"/>
    </row>
    <row r="26" spans="1:14" s="4" customFormat="1" ht="12.75" x14ac:dyDescent="0.2">
      <c r="A26" s="5"/>
      <c r="B26" s="217">
        <f>IF(Teams!B21="","",Teams!B21)</f>
        <v>44289</v>
      </c>
      <c r="C26" s="18" t="str">
        <f>IF(Teams!C21="","",Teams!C21)</f>
        <v>Robo Huskies</v>
      </c>
      <c r="D26" s="19"/>
      <c r="E26" s="19"/>
      <c r="F26" s="19"/>
      <c r="G26" s="19"/>
      <c r="H26" s="27">
        <f t="shared" si="0"/>
        <v>0</v>
      </c>
      <c r="I26" s="52">
        <f t="shared" si="1"/>
        <v>0</v>
      </c>
      <c r="K26" s="19"/>
      <c r="L26" s="19"/>
      <c r="M26" s="19"/>
      <c r="N26" s="19"/>
    </row>
    <row r="27" spans="1:14" s="4" customFormat="1" ht="12.75" x14ac:dyDescent="0.2">
      <c r="A27" s="5"/>
      <c r="B27" s="217">
        <f>IF(Teams!B22="","",Teams!B22)</f>
        <v>44628</v>
      </c>
      <c r="C27" s="18" t="str">
        <f>IF(Teams!C22="","",Teams!C22)</f>
        <v>Cyber Sims</v>
      </c>
      <c r="D27" s="19"/>
      <c r="E27" s="19"/>
      <c r="F27" s="19"/>
      <c r="G27" s="19"/>
      <c r="H27" s="27">
        <f t="shared" si="0"/>
        <v>0</v>
      </c>
      <c r="I27" s="52">
        <f t="shared" si="1"/>
        <v>0</v>
      </c>
      <c r="K27" s="19"/>
      <c r="L27" s="19"/>
      <c r="M27" s="19"/>
      <c r="N27" s="19"/>
    </row>
    <row r="28" spans="1:14" s="4" customFormat="1" ht="12.75" x14ac:dyDescent="0.2">
      <c r="A28" s="5"/>
      <c r="B28" s="217">
        <f>IF(Teams!B23="","",Teams!B23)</f>
        <v>44820</v>
      </c>
      <c r="C28" s="18" t="str">
        <f>IF(Teams!C23="","",Teams!C23)</f>
        <v>Evil Croutons</v>
      </c>
      <c r="D28" s="19"/>
      <c r="E28" s="19"/>
      <c r="F28" s="19"/>
      <c r="G28" s="19"/>
      <c r="H28" s="27">
        <f t="shared" si="0"/>
        <v>0</v>
      </c>
      <c r="I28" s="52">
        <f t="shared" si="1"/>
        <v>0</v>
      </c>
      <c r="K28" s="19"/>
      <c r="L28" s="19"/>
      <c r="M28" s="19"/>
      <c r="N28" s="19"/>
    </row>
    <row r="29" spans="1:14" s="4" customFormat="1" ht="12.75" x14ac:dyDescent="0.2">
      <c r="A29" s="5"/>
      <c r="B29" s="217">
        <f>IF(Teams!B24="","",Teams!B24)</f>
        <v>52027</v>
      </c>
      <c r="C29" s="18" t="str">
        <f>IF(Teams!C24="","",Teams!C24)</f>
        <v>Everest 3</v>
      </c>
      <c r="D29" s="19"/>
      <c r="E29" s="19"/>
      <c r="F29" s="19"/>
      <c r="G29" s="19"/>
      <c r="H29" s="27">
        <f t="shared" si="0"/>
        <v>0</v>
      </c>
      <c r="I29" s="52">
        <f t="shared" si="1"/>
        <v>0</v>
      </c>
      <c r="K29" s="19"/>
      <c r="L29" s="19"/>
      <c r="M29" s="19"/>
      <c r="N29" s="19"/>
    </row>
    <row r="30" spans="1:14" s="4" customFormat="1" ht="12.75" x14ac:dyDescent="0.2">
      <c r="A30" s="5"/>
      <c r="B30" s="217">
        <f>IF(Teams!B25="","",Teams!B25)</f>
        <v>52205</v>
      </c>
      <c r="C30" s="18" t="str">
        <f>IF(Teams!C25="","",Teams!C25)</f>
        <v>DEEP FRIED EAGLES</v>
      </c>
      <c r="D30" s="19"/>
      <c r="E30" s="19"/>
      <c r="F30" s="19"/>
      <c r="G30" s="19"/>
      <c r="H30" s="27">
        <f t="shared" si="0"/>
        <v>0</v>
      </c>
      <c r="I30" s="52">
        <f t="shared" si="1"/>
        <v>0</v>
      </c>
      <c r="K30" s="19"/>
      <c r="L30" s="19"/>
      <c r="M30" s="19"/>
      <c r="N30" s="19"/>
    </row>
    <row r="31" spans="1:14" s="4" customFormat="1" ht="12.75" x14ac:dyDescent="0.2">
      <c r="A31" s="5"/>
      <c r="B31" s="217">
        <f>IF(Teams!B26="","",Teams!B26)</f>
        <v>52358</v>
      </c>
      <c r="C31" s="18" t="str">
        <f>IF(Teams!C26="","",Teams!C26)</f>
        <v>Binary Bananas</v>
      </c>
      <c r="D31" s="19"/>
      <c r="E31" s="19"/>
      <c r="F31" s="19"/>
      <c r="G31" s="19"/>
      <c r="H31" s="27">
        <f t="shared" si="0"/>
        <v>0</v>
      </c>
      <c r="I31" s="52">
        <f t="shared" si="1"/>
        <v>0</v>
      </c>
      <c r="K31" s="19"/>
      <c r="L31" s="19"/>
      <c r="M31" s="19"/>
      <c r="N31" s="19"/>
    </row>
    <row r="32" spans="1:14" s="4" customFormat="1" ht="12.75" x14ac:dyDescent="0.2">
      <c r="A32" s="5"/>
      <c r="B32" s="217">
        <f>IF(Teams!B27="","",Teams!B27)</f>
        <v>52760</v>
      </c>
      <c r="C32" s="18" t="str">
        <f>IF(Teams!C27="","",Teams!C27)</f>
        <v>Maverick Mechanics</v>
      </c>
      <c r="D32" s="19"/>
      <c r="E32" s="19"/>
      <c r="F32" s="19"/>
      <c r="G32" s="19"/>
      <c r="H32" s="27">
        <f t="shared" si="0"/>
        <v>0</v>
      </c>
      <c r="I32" s="52">
        <f t="shared" si="1"/>
        <v>0</v>
      </c>
      <c r="K32" s="19"/>
      <c r="L32" s="19"/>
      <c r="M32" s="19"/>
      <c r="N32" s="19"/>
    </row>
    <row r="33" spans="1:14" s="4" customFormat="1" ht="12.75" x14ac:dyDescent="0.2">
      <c r="A33" s="5"/>
      <c r="B33" s="217">
        <f>IF(Teams!B28="","",Teams!B28)</f>
        <v>53488</v>
      </c>
      <c r="C33" s="18" t="str">
        <f>IF(Teams!C28="","",Teams!C28)</f>
        <v>Blown Fuses LL1</v>
      </c>
      <c r="D33" s="19"/>
      <c r="E33" s="19"/>
      <c r="F33" s="19"/>
      <c r="G33" s="19"/>
      <c r="H33" s="27">
        <f t="shared" si="0"/>
        <v>0</v>
      </c>
      <c r="I33" s="52">
        <f t="shared" si="1"/>
        <v>0</v>
      </c>
      <c r="K33" s="19"/>
      <c r="L33" s="19"/>
      <c r="M33" s="19"/>
      <c r="N33" s="19"/>
    </row>
    <row r="34" spans="1:14" s="4" customFormat="1" ht="12.75" x14ac:dyDescent="0.2">
      <c r="A34" s="5"/>
      <c r="B34" s="217">
        <f>IF(Teams!B29="","",Teams!B29)</f>
        <v>53947</v>
      </c>
      <c r="C34" s="18" t="str">
        <f>IF(Teams!C29="","",Teams!C29)</f>
        <v>Huron Academy Huskies</v>
      </c>
      <c r="D34" s="19"/>
      <c r="E34" s="19"/>
      <c r="F34" s="19"/>
      <c r="G34" s="19"/>
      <c r="H34" s="27">
        <f t="shared" si="0"/>
        <v>0</v>
      </c>
      <c r="I34" s="52">
        <f t="shared" si="1"/>
        <v>0</v>
      </c>
      <c r="K34" s="19"/>
      <c r="L34" s="19"/>
      <c r="M34" s="19"/>
      <c r="N34" s="19"/>
    </row>
    <row r="35" spans="1:14" s="4" customFormat="1" ht="12.75" x14ac:dyDescent="0.2">
      <c r="A35" s="5"/>
      <c r="B35" s="217">
        <f>IF(Teams!B30="","",Teams!B30)</f>
        <v>54046</v>
      </c>
      <c r="C35" s="18" t="str">
        <f>IF(Teams!C30="","",Teams!C30)</f>
        <v>Robo Huskies</v>
      </c>
      <c r="D35" s="19"/>
      <c r="E35" s="19"/>
      <c r="F35" s="19"/>
      <c r="G35" s="19"/>
      <c r="H35" s="27">
        <f t="shared" si="0"/>
        <v>0</v>
      </c>
      <c r="I35" s="52">
        <f t="shared" ref="I35:I62" si="2">IF(H35&gt;MEDIAN(H$8:H$62),1,0)</f>
        <v>0</v>
      </c>
      <c r="K35" s="19"/>
      <c r="L35" s="19"/>
      <c r="M35" s="19"/>
      <c r="N35" s="19"/>
    </row>
    <row r="36" spans="1:14" s="4" customFormat="1" ht="12.75" x14ac:dyDescent="0.2">
      <c r="A36" s="5"/>
      <c r="B36" s="217">
        <f>IF(Teams!B31="","",Teams!B31)</f>
        <v>54155</v>
      </c>
      <c r="C36" s="18" t="str">
        <f>IF(Teams!C31="","",Teams!C31)</f>
        <v>Robo-Warriors 5</v>
      </c>
      <c r="D36" s="19"/>
      <c r="E36" s="19"/>
      <c r="F36" s="19"/>
      <c r="G36" s="19"/>
      <c r="H36" s="27">
        <f t="shared" si="0"/>
        <v>0</v>
      </c>
      <c r="I36" s="52">
        <f t="shared" si="2"/>
        <v>0</v>
      </c>
      <c r="K36" s="19"/>
      <c r="L36" s="19"/>
      <c r="M36" s="19"/>
      <c r="N36" s="19"/>
    </row>
    <row r="37" spans="1:14" s="4" customFormat="1" ht="12.75" x14ac:dyDescent="0.2">
      <c r="A37" s="5"/>
      <c r="B37" s="217">
        <f>IF(Teams!B32="","",Teams!B32)</f>
        <v>54284</v>
      </c>
      <c r="C37" s="18" t="str">
        <f>IF(Teams!C32="","",Teams!C32)</f>
        <v>Blown Fuses LL2</v>
      </c>
      <c r="D37" s="19"/>
      <c r="E37" s="19"/>
      <c r="F37" s="19"/>
      <c r="G37" s="19"/>
      <c r="H37" s="27">
        <f t="shared" si="0"/>
        <v>0</v>
      </c>
      <c r="I37" s="52">
        <f t="shared" si="2"/>
        <v>0</v>
      </c>
      <c r="K37" s="19"/>
      <c r="L37" s="19"/>
      <c r="M37" s="19"/>
      <c r="N37" s="19"/>
    </row>
    <row r="38" spans="1:14" s="4" customFormat="1" ht="12.75" x14ac:dyDescent="0.2">
      <c r="A38" s="5"/>
      <c r="B38" s="217">
        <f>IF(Teams!B33="","",Teams!B33)</f>
        <v>55592</v>
      </c>
      <c r="C38" s="18" t="str">
        <f>IF(Teams!C33="","",Teams!C33)</f>
        <v>I LIVE UNDER A ROCK!</v>
      </c>
      <c r="D38" s="19"/>
      <c r="E38" s="19"/>
      <c r="F38" s="19"/>
      <c r="G38" s="19"/>
      <c r="H38" s="27">
        <f t="shared" si="0"/>
        <v>0</v>
      </c>
      <c r="I38" s="52">
        <f t="shared" si="2"/>
        <v>0</v>
      </c>
      <c r="K38" s="19"/>
      <c r="L38" s="19"/>
      <c r="M38" s="19"/>
      <c r="N38" s="19"/>
    </row>
    <row r="39" spans="1:14" s="4" customFormat="1" ht="12.75" x14ac:dyDescent="0.2">
      <c r="A39" s="5"/>
      <c r="B39" s="217">
        <f>IF(Teams!B34="","",Teams!B34)</f>
        <v>55593</v>
      </c>
      <c r="C39" s="18" t="str">
        <f>IF(Teams!C34="","",Teams!C34)</f>
        <v>Robo-Fairies &lt;3</v>
      </c>
      <c r="D39" s="19"/>
      <c r="E39" s="19"/>
      <c r="F39" s="19"/>
      <c r="G39" s="19"/>
      <c r="H39" s="27">
        <f t="shared" si="0"/>
        <v>0</v>
      </c>
      <c r="I39" s="52">
        <f t="shared" ref="I39" si="3">IF(H39&gt;MEDIAN(H$8:H$62),1,0)</f>
        <v>0</v>
      </c>
      <c r="K39" s="19"/>
      <c r="L39" s="19"/>
      <c r="M39" s="19"/>
      <c r="N39" s="19"/>
    </row>
    <row r="40" spans="1:14" s="4" customFormat="1" ht="12.75" x14ac:dyDescent="0.2">
      <c r="A40" s="5"/>
      <c r="B40" s="217">
        <f>IF(Teams!B35="","",Teams!B35)</f>
        <v>55729</v>
      </c>
      <c r="C40" s="18" t="str">
        <f>IF(Teams!C35="","",Teams!C35)</f>
        <v>Ancient Bananas</v>
      </c>
      <c r="D40" s="19"/>
      <c r="E40" s="19"/>
      <c r="F40" s="19"/>
      <c r="G40" s="19"/>
      <c r="H40" s="27">
        <f t="shared" si="0"/>
        <v>0</v>
      </c>
      <c r="I40" s="52">
        <f t="shared" si="2"/>
        <v>0</v>
      </c>
      <c r="K40" s="19"/>
      <c r="L40" s="19"/>
      <c r="M40" s="19"/>
      <c r="N40" s="19"/>
    </row>
    <row r="41" spans="1:14" s="4" customFormat="1" ht="12.75" x14ac:dyDescent="0.2">
      <c r="A41" s="5"/>
      <c r="B41" s="217">
        <f>IF(Teams!B36="","",Teams!B36)</f>
        <v>56372</v>
      </c>
      <c r="C41" s="18" t="str">
        <f>IF(Teams!C36="","",Teams!C36)</f>
        <v>Sharp Dressed Men</v>
      </c>
      <c r="D41" s="19"/>
      <c r="E41" s="19"/>
      <c r="F41" s="19"/>
      <c r="G41" s="19"/>
      <c r="H41" s="27">
        <f t="shared" si="0"/>
        <v>0</v>
      </c>
      <c r="I41" s="52">
        <f t="shared" si="2"/>
        <v>0</v>
      </c>
      <c r="K41" s="19"/>
      <c r="L41" s="19"/>
      <c r="M41" s="19"/>
      <c r="N41" s="19"/>
    </row>
    <row r="42" spans="1:14" s="4" customFormat="1" ht="12.75" x14ac:dyDescent="0.2">
      <c r="A42" s="5"/>
      <c r="B42" s="217">
        <f>IF(Teams!B37="","",Teams!B37)</f>
        <v>58669</v>
      </c>
      <c r="C42" s="18" t="str">
        <f>IF(Teams!C37="","",Teams!C37)</f>
        <v>LEGO My Faygo</v>
      </c>
      <c r="D42" s="19"/>
      <c r="E42" s="19"/>
      <c r="F42" s="19"/>
      <c r="G42" s="19"/>
      <c r="H42" s="27">
        <f t="shared" si="0"/>
        <v>0</v>
      </c>
      <c r="I42" s="52">
        <f t="shared" si="2"/>
        <v>0</v>
      </c>
      <c r="K42" s="19"/>
      <c r="L42" s="19"/>
      <c r="M42" s="19"/>
      <c r="N42" s="19"/>
    </row>
    <row r="43" spans="1:14" s="4" customFormat="1" ht="12.75" x14ac:dyDescent="0.2">
      <c r="A43" s="5"/>
      <c r="B43" s="217">
        <f>IF(Teams!B38="","",Teams!B38)</f>
        <v>58670</v>
      </c>
      <c r="C43" s="18" t="str">
        <f>IF(Teams!C38="","",Teams!C38)</f>
        <v>The Banana Repub-brick</v>
      </c>
      <c r="D43" s="19"/>
      <c r="E43" s="19"/>
      <c r="F43" s="19"/>
      <c r="G43" s="19"/>
      <c r="H43" s="27">
        <f t="shared" si="0"/>
        <v>0</v>
      </c>
      <c r="I43" s="52">
        <f t="shared" si="2"/>
        <v>0</v>
      </c>
      <c r="K43" s="19"/>
      <c r="L43" s="19"/>
      <c r="M43" s="19"/>
      <c r="N43" s="19"/>
    </row>
    <row r="44" spans="1:14" s="4" customFormat="1" ht="12.75" x14ac:dyDescent="0.2">
      <c r="A44" s="5"/>
      <c r="B44" s="217">
        <f>IF(Teams!B39="","",Teams!B39)</f>
        <v>60663</v>
      </c>
      <c r="C44" s="18" t="str">
        <f>IF(Teams!C39="","",Teams!C39)</f>
        <v>The Buddies</v>
      </c>
      <c r="D44" s="19"/>
      <c r="E44" s="19"/>
      <c r="F44" s="19"/>
      <c r="G44" s="19"/>
      <c r="H44" s="27">
        <f t="shared" si="0"/>
        <v>0</v>
      </c>
      <c r="I44" s="52">
        <f t="shared" si="2"/>
        <v>0</v>
      </c>
      <c r="K44" s="19"/>
      <c r="L44" s="19"/>
      <c r="M44" s="19"/>
      <c r="N44" s="19"/>
    </row>
    <row r="45" spans="1:14" s="4" customFormat="1" ht="12.75" x14ac:dyDescent="0.2">
      <c r="A45" s="5"/>
      <c r="B45" s="217">
        <f>IF(Teams!B40="","",Teams!B40)</f>
        <v>62076</v>
      </c>
      <c r="C45" s="18" t="str">
        <f>IF(Teams!C40="","",Teams!C40)</f>
        <v>Robo-Warriors</v>
      </c>
      <c r="D45" s="19"/>
      <c r="E45" s="19"/>
      <c r="F45" s="19"/>
      <c r="G45" s="19"/>
      <c r="H45" s="27">
        <f t="shared" si="0"/>
        <v>0</v>
      </c>
      <c r="I45" s="52">
        <f t="shared" si="2"/>
        <v>0</v>
      </c>
      <c r="K45" s="19"/>
      <c r="L45" s="19"/>
      <c r="M45" s="19"/>
      <c r="N45" s="19"/>
    </row>
    <row r="46" spans="1:14" s="4" customFormat="1" ht="12.75" x14ac:dyDescent="0.2">
      <c r="A46" s="5"/>
      <c r="B46" s="217">
        <f>IF(Teams!B41="","",Teams!B41)</f>
        <v>62525</v>
      </c>
      <c r="C46" s="18" t="str">
        <f>IF(Teams!C41="","",Teams!C41)</f>
        <v>Everest5</v>
      </c>
      <c r="D46" s="19"/>
      <c r="E46" s="19"/>
      <c r="F46" s="19"/>
      <c r="G46" s="19"/>
      <c r="H46" s="27">
        <f t="shared" si="0"/>
        <v>0</v>
      </c>
      <c r="I46" s="52">
        <f t="shared" si="2"/>
        <v>0</v>
      </c>
      <c r="K46" s="19"/>
      <c r="L46" s="19"/>
      <c r="M46" s="19"/>
      <c r="N46" s="19"/>
    </row>
    <row r="47" spans="1:14" s="4" customFormat="1" ht="12.75" x14ac:dyDescent="0.2">
      <c r="A47" s="5"/>
      <c r="B47" s="217">
        <f>IF(Teams!B42="","",Teams!B42)</f>
        <v>66158</v>
      </c>
      <c r="C47" s="18" t="str">
        <f>IF(Teams!C42="","",Teams!C42)</f>
        <v>Wiley Elementary Challenge</v>
      </c>
      <c r="D47" s="19"/>
      <c r="E47" s="19"/>
      <c r="F47" s="19"/>
      <c r="G47" s="19"/>
      <c r="H47" s="27">
        <f t="shared" si="0"/>
        <v>0</v>
      </c>
      <c r="I47" s="52">
        <f t="shared" si="2"/>
        <v>0</v>
      </c>
      <c r="K47" s="19"/>
      <c r="L47" s="19"/>
      <c r="M47" s="19"/>
      <c r="N47" s="19"/>
    </row>
    <row r="48" spans="1:14" s="4" customFormat="1" ht="12.75" x14ac:dyDescent="0.2">
      <c r="A48" s="5"/>
      <c r="B48" s="217">
        <f>IF(Teams!B43="","",Teams!B43)</f>
        <v>70482</v>
      </c>
      <c r="C48" s="18" t="str">
        <f>IF(Teams!C43="","",Teams!C43)</f>
        <v>Prehistoric Panthers</v>
      </c>
      <c r="D48" s="19"/>
      <c r="E48" s="19"/>
      <c r="F48" s="19"/>
      <c r="G48" s="19"/>
      <c r="H48" s="27">
        <f t="shared" si="0"/>
        <v>0</v>
      </c>
      <c r="I48" s="52">
        <f t="shared" si="2"/>
        <v>0</v>
      </c>
      <c r="K48" s="19"/>
      <c r="L48" s="19"/>
      <c r="M48" s="19"/>
      <c r="N48" s="19"/>
    </row>
    <row r="49" spans="1:14" s="4" customFormat="1" ht="12.75" x14ac:dyDescent="0.2">
      <c r="A49" s="5"/>
      <c r="B49" s="217">
        <f>IF(Teams!B44="","",Teams!B44)</f>
        <v>70484</v>
      </c>
      <c r="C49" s="18" t="str">
        <f>IF(Teams!C44="","",Teams!C44)</f>
        <v>Lego Panthers</v>
      </c>
      <c r="D49" s="19"/>
      <c r="E49" s="19"/>
      <c r="F49" s="19"/>
      <c r="G49" s="19"/>
      <c r="H49" s="27">
        <f t="shared" ref="H49:H62" si="4">MAX(D49:G49)</f>
        <v>0</v>
      </c>
      <c r="I49" s="52">
        <f t="shared" si="2"/>
        <v>0</v>
      </c>
      <c r="K49" s="19"/>
      <c r="L49" s="19"/>
      <c r="M49" s="19"/>
      <c r="N49" s="19"/>
    </row>
    <row r="50" spans="1:14" s="4" customFormat="1" ht="12.75" x14ac:dyDescent="0.2">
      <c r="A50" s="5"/>
      <c r="B50" s="217">
        <f>IF(Teams!B45="","",Teams!B45)</f>
        <v>70682</v>
      </c>
      <c r="C50" s="18" t="str">
        <f>IF(Teams!C45="","",Teams!C45)</f>
        <v>Roberts Robotics The Thunder Nuggets</v>
      </c>
      <c r="D50" s="19"/>
      <c r="E50" s="19"/>
      <c r="F50" s="19"/>
      <c r="G50" s="19"/>
      <c r="H50" s="27">
        <f t="shared" si="4"/>
        <v>0</v>
      </c>
      <c r="I50" s="52">
        <f t="shared" si="2"/>
        <v>0</v>
      </c>
      <c r="K50" s="19"/>
      <c r="L50" s="19"/>
      <c r="M50" s="19"/>
      <c r="N50" s="19"/>
    </row>
    <row r="51" spans="1:14" s="4" customFormat="1" ht="12.75" x14ac:dyDescent="0.2">
      <c r="A51" s="5"/>
      <c r="B51" s="217">
        <f>IF(Teams!B46="","",Teams!B46)</f>
        <v>71954</v>
      </c>
      <c r="C51" s="18" t="str">
        <f>IF(Teams!C46="","",Teams!C46)</f>
        <v>BIT BUSTERS</v>
      </c>
      <c r="D51" s="19"/>
      <c r="E51" s="19"/>
      <c r="F51" s="19"/>
      <c r="G51" s="19"/>
      <c r="H51" s="27">
        <f t="shared" si="4"/>
        <v>0</v>
      </c>
      <c r="I51" s="52">
        <f t="shared" si="2"/>
        <v>0</v>
      </c>
      <c r="K51" s="19"/>
      <c r="L51" s="19"/>
      <c r="M51" s="19"/>
      <c r="N51" s="19"/>
    </row>
    <row r="52" spans="1:14" s="4" customFormat="1" ht="12.75" x14ac:dyDescent="0.2">
      <c r="A52" s="5"/>
      <c r="B52" s="217">
        <f>IF(Teams!B47="","",Teams!B47)</f>
        <v>72238</v>
      </c>
      <c r="C52" s="18" t="str">
        <f>IF(Teams!C47="","",Teams!C47)</f>
        <v>Flickinger Falcons</v>
      </c>
      <c r="D52" s="19"/>
      <c r="E52" s="19"/>
      <c r="F52" s="19"/>
      <c r="G52" s="19"/>
      <c r="H52" s="27">
        <f t="shared" si="4"/>
        <v>0</v>
      </c>
      <c r="I52" s="52">
        <f t="shared" si="2"/>
        <v>0</v>
      </c>
      <c r="K52" s="19"/>
      <c r="L52" s="19"/>
      <c r="M52" s="19"/>
      <c r="N52" s="19"/>
    </row>
    <row r="53" spans="1:14" s="4" customFormat="1" ht="12.75" x14ac:dyDescent="0.2">
      <c r="A53" s="5"/>
      <c r="B53" s="217">
        <f>IF(Teams!B48="","",Teams!B48)</f>
        <v>73559</v>
      </c>
      <c r="C53" s="18" t="str">
        <f>IF(Teams!C48="","",Teams!C48)</f>
        <v>Potato Ducks</v>
      </c>
      <c r="D53" s="19"/>
      <c r="E53" s="19"/>
      <c r="F53" s="19"/>
      <c r="G53" s="19"/>
      <c r="H53" s="27">
        <f t="shared" si="4"/>
        <v>0</v>
      </c>
      <c r="I53" s="52">
        <f t="shared" si="2"/>
        <v>0</v>
      </c>
      <c r="K53" s="19"/>
      <c r="L53" s="19"/>
      <c r="M53" s="19"/>
      <c r="N53" s="19"/>
    </row>
    <row r="54" spans="1:14" s="4" customFormat="1" ht="12.75" x14ac:dyDescent="0.2">
      <c r="A54" s="5"/>
      <c r="B54" s="217">
        <f>IF(Teams!B49="","",Teams!B49)</f>
        <v>74327</v>
      </c>
      <c r="C54" s="18" t="str">
        <f>IF(Teams!C49="","",Teams!C49)</f>
        <v>DeKeyser Dolphins</v>
      </c>
      <c r="D54" s="19"/>
      <c r="E54" s="19"/>
      <c r="F54" s="19"/>
      <c r="G54" s="19"/>
      <c r="H54" s="27">
        <f t="shared" si="4"/>
        <v>0</v>
      </c>
      <c r="I54" s="52">
        <f t="shared" si="2"/>
        <v>0</v>
      </c>
      <c r="K54" s="19"/>
      <c r="L54" s="19"/>
      <c r="M54" s="19"/>
      <c r="N54" s="19"/>
    </row>
    <row r="55" spans="1:14" s="4" customFormat="1" ht="12.75" x14ac:dyDescent="0.2">
      <c r="A55" s="5"/>
      <c r="B55" s="217">
        <f>IF(Teams!B50="","",Teams!B50)</f>
        <v>74569</v>
      </c>
      <c r="C55" s="18" t="str">
        <f>IF(Teams!C50="","",Teams!C50)</f>
        <v>Robotic Overlords</v>
      </c>
      <c r="D55" s="19"/>
      <c r="E55" s="19"/>
      <c r="F55" s="19"/>
      <c r="G55" s="19"/>
      <c r="H55" s="27">
        <f t="shared" si="4"/>
        <v>0</v>
      </c>
      <c r="I55" s="52">
        <f t="shared" si="2"/>
        <v>0</v>
      </c>
      <c r="K55" s="19"/>
      <c r="L55" s="19"/>
      <c r="M55" s="19"/>
      <c r="N55" s="19"/>
    </row>
    <row r="56" spans="1:14" s="4" customFormat="1" ht="12.75" hidden="1" x14ac:dyDescent="0.2">
      <c r="A56" s="5"/>
      <c r="B56" s="217" t="str">
        <f>IF(Teams!B51="","",Teams!B51)</f>
        <v/>
      </c>
      <c r="C56" s="18" t="str">
        <f>IF(Teams!C51="","",Teams!C51)</f>
        <v/>
      </c>
      <c r="D56" s="19"/>
      <c r="E56" s="19"/>
      <c r="F56" s="19"/>
      <c r="G56" s="19"/>
      <c r="H56" s="27">
        <f t="shared" si="4"/>
        <v>0</v>
      </c>
      <c r="I56" s="52">
        <f t="shared" si="2"/>
        <v>0</v>
      </c>
    </row>
    <row r="57" spans="1:14" s="4" customFormat="1" ht="12.75" hidden="1" x14ac:dyDescent="0.2">
      <c r="A57" s="5"/>
      <c r="B57" s="217" t="str">
        <f>IF(Teams!B52="","",Teams!B52)</f>
        <v/>
      </c>
      <c r="C57" s="18" t="str">
        <f>IF(Teams!C52="","",Teams!C52)</f>
        <v/>
      </c>
      <c r="D57" s="19"/>
      <c r="E57" s="19"/>
      <c r="F57" s="19"/>
      <c r="G57" s="19"/>
      <c r="H57" s="27">
        <f t="shared" si="4"/>
        <v>0</v>
      </c>
      <c r="I57" s="52">
        <f t="shared" si="2"/>
        <v>0</v>
      </c>
    </row>
    <row r="58" spans="1:14" s="4" customFormat="1" ht="12.75" hidden="1" x14ac:dyDescent="0.2">
      <c r="A58" s="5"/>
      <c r="B58" s="217" t="str">
        <f>IF(Teams!B53="","",Teams!B53)</f>
        <v/>
      </c>
      <c r="C58" s="18" t="str">
        <f>IF(Teams!C53="","",Teams!C53)</f>
        <v/>
      </c>
      <c r="D58" s="19"/>
      <c r="E58" s="19"/>
      <c r="F58" s="19"/>
      <c r="G58" s="19"/>
      <c r="H58" s="27">
        <f t="shared" si="4"/>
        <v>0</v>
      </c>
      <c r="I58" s="52">
        <f t="shared" si="2"/>
        <v>0</v>
      </c>
    </row>
    <row r="59" spans="1:14" s="4" customFormat="1" ht="12.75" hidden="1" x14ac:dyDescent="0.2">
      <c r="A59" s="5"/>
      <c r="B59" s="217" t="str">
        <f>IF(Teams!B54="","",Teams!B54)</f>
        <v/>
      </c>
      <c r="C59" s="18" t="str">
        <f>IF(Teams!C54="","",Teams!C54)</f>
        <v/>
      </c>
      <c r="D59" s="19"/>
      <c r="E59" s="19"/>
      <c r="F59" s="19"/>
      <c r="G59" s="19"/>
      <c r="H59" s="27">
        <f t="shared" si="4"/>
        <v>0</v>
      </c>
      <c r="I59" s="52">
        <f t="shared" si="2"/>
        <v>0</v>
      </c>
    </row>
    <row r="60" spans="1:14" s="4" customFormat="1" ht="12.75" hidden="1" x14ac:dyDescent="0.2">
      <c r="A60" s="5"/>
      <c r="B60" s="217" t="str">
        <f>IF(Teams!B55="","",Teams!B55)</f>
        <v/>
      </c>
      <c r="C60" s="18" t="str">
        <f>IF(Teams!C55="","",Teams!C55)</f>
        <v/>
      </c>
      <c r="D60" s="19"/>
      <c r="E60" s="19"/>
      <c r="F60" s="19"/>
      <c r="G60" s="19"/>
      <c r="H60" s="27">
        <f t="shared" si="4"/>
        <v>0</v>
      </c>
      <c r="I60" s="52">
        <f t="shared" si="2"/>
        <v>0</v>
      </c>
    </row>
    <row r="61" spans="1:14" s="4" customFormat="1" ht="12.75" hidden="1" x14ac:dyDescent="0.2">
      <c r="A61" s="5"/>
      <c r="B61" s="217" t="str">
        <f>IF(Teams!B56="","",Teams!B56)</f>
        <v/>
      </c>
      <c r="C61" s="18" t="str">
        <f>IF(Teams!C56="","",Teams!C56)</f>
        <v/>
      </c>
      <c r="D61" s="19"/>
      <c r="E61" s="19"/>
      <c r="F61" s="19"/>
      <c r="G61" s="19"/>
      <c r="H61" s="27">
        <f t="shared" si="4"/>
        <v>0</v>
      </c>
      <c r="I61" s="52">
        <f t="shared" si="2"/>
        <v>0</v>
      </c>
    </row>
    <row r="62" spans="1:14" s="4" customFormat="1" ht="13.5" hidden="1" thickBot="1" x14ac:dyDescent="0.25">
      <c r="A62" s="5"/>
      <c r="B62" s="218" t="str">
        <f>IF(Teams!B57="","",Teams!B57)</f>
        <v/>
      </c>
      <c r="C62" s="46" t="str">
        <f>IF(Teams!C57="","",Teams!C57)</f>
        <v/>
      </c>
      <c r="D62" s="47"/>
      <c r="E62" s="47"/>
      <c r="F62" s="47"/>
      <c r="G62" s="47"/>
      <c r="H62" s="48">
        <f t="shared" si="4"/>
        <v>0</v>
      </c>
      <c r="I62" s="52">
        <f t="shared" si="2"/>
        <v>0</v>
      </c>
    </row>
    <row r="63" spans="1:14" s="4" customFormat="1" ht="12.75" x14ac:dyDescent="0.2">
      <c r="B63" s="5"/>
      <c r="I63" s="5"/>
    </row>
    <row r="64" spans="1:14" s="4" customFormat="1" ht="12.75" x14ac:dyDescent="0.2">
      <c r="B64" s="5"/>
      <c r="I64" s="5"/>
    </row>
    <row r="65" spans="2:9" s="4" customFormat="1" ht="12.75" x14ac:dyDescent="0.2">
      <c r="B65" s="5"/>
      <c r="I65" s="5"/>
    </row>
    <row r="66" spans="2:9" s="4" customFormat="1" ht="12.75" x14ac:dyDescent="0.2">
      <c r="B66" s="5"/>
      <c r="I66" s="5"/>
    </row>
    <row r="67" spans="2:9" s="4" customFormat="1" ht="12.75" x14ac:dyDescent="0.2">
      <c r="B67" s="5"/>
      <c r="I67" s="5"/>
    </row>
    <row r="68" spans="2:9" s="4" customFormat="1" ht="12.75" x14ac:dyDescent="0.2">
      <c r="B68" s="5"/>
      <c r="I68" s="5"/>
    </row>
    <row r="69" spans="2:9" s="4" customFormat="1" ht="12.75" x14ac:dyDescent="0.2">
      <c r="B69" s="5"/>
      <c r="I69" s="5"/>
    </row>
    <row r="70" spans="2:9" s="4" customFormat="1" ht="12.75" x14ac:dyDescent="0.2">
      <c r="B70" s="5"/>
      <c r="I70" s="5"/>
    </row>
    <row r="71" spans="2:9" s="4" customFormat="1" ht="12.75" x14ac:dyDescent="0.2">
      <c r="B71" s="5"/>
      <c r="I71" s="5"/>
    </row>
    <row r="72" spans="2:9" s="4" customFormat="1" ht="12.75" x14ac:dyDescent="0.2">
      <c r="B72" s="5"/>
      <c r="I72" s="5"/>
    </row>
    <row r="73" spans="2:9" s="4" customFormat="1" ht="12.75" x14ac:dyDescent="0.2">
      <c r="B73" s="5"/>
      <c r="I73" s="5"/>
    </row>
    <row r="74" spans="2:9" s="4" customFormat="1" ht="12.75" x14ac:dyDescent="0.2">
      <c r="B74" s="5"/>
      <c r="I74" s="5"/>
    </row>
    <row r="75" spans="2:9" s="4" customFormat="1" ht="12.75" x14ac:dyDescent="0.2">
      <c r="B75" s="5"/>
      <c r="I75" s="5"/>
    </row>
    <row r="76" spans="2:9" s="4" customFormat="1" ht="12.75" x14ac:dyDescent="0.2">
      <c r="B76" s="5"/>
      <c r="I76" s="5"/>
    </row>
    <row r="77" spans="2:9" s="4" customFormat="1" ht="12.75" x14ac:dyDescent="0.2">
      <c r="B77" s="5"/>
      <c r="I77" s="5"/>
    </row>
    <row r="78" spans="2:9" s="4" customFormat="1" ht="12.75" x14ac:dyDescent="0.2">
      <c r="B78" s="5"/>
      <c r="I78" s="5"/>
    </row>
    <row r="79" spans="2:9" s="4" customFormat="1" ht="12.75" x14ac:dyDescent="0.2">
      <c r="B79" s="5"/>
      <c r="I79" s="5"/>
    </row>
    <row r="80" spans="2:9" s="4" customFormat="1" ht="12.75" x14ac:dyDescent="0.2">
      <c r="B80" s="5"/>
      <c r="I80" s="5"/>
    </row>
    <row r="81" spans="2:9" s="4" customFormat="1" ht="12.75" x14ac:dyDescent="0.2">
      <c r="B81" s="5"/>
      <c r="I81" s="5"/>
    </row>
    <row r="82" spans="2:9" s="4" customFormat="1" ht="12.75" x14ac:dyDescent="0.2">
      <c r="B82" s="5"/>
      <c r="I82" s="5"/>
    </row>
    <row r="83" spans="2:9" s="4" customFormat="1" ht="12.75" x14ac:dyDescent="0.2">
      <c r="B83" s="5"/>
      <c r="I83" s="5"/>
    </row>
    <row r="84" spans="2:9" s="4" customFormat="1" ht="12.75" x14ac:dyDescent="0.2">
      <c r="B84" s="5"/>
      <c r="I84" s="5"/>
    </row>
    <row r="85" spans="2:9" s="4" customFormat="1" ht="12.75" x14ac:dyDescent="0.2">
      <c r="B85" s="5"/>
      <c r="I85" s="5"/>
    </row>
    <row r="86" spans="2:9" s="4" customFormat="1" ht="12.75" x14ac:dyDescent="0.2">
      <c r="B86" s="5"/>
      <c r="I86" s="5"/>
    </row>
    <row r="87" spans="2:9" s="4" customFormat="1" ht="12.75" x14ac:dyDescent="0.2">
      <c r="B87" s="5"/>
      <c r="I87" s="5"/>
    </row>
    <row r="88" spans="2:9" s="4" customFormat="1" ht="12.75" x14ac:dyDescent="0.2">
      <c r="B88" s="5"/>
      <c r="I88" s="5"/>
    </row>
  </sheetData>
  <sheetProtection selectLockedCells="1"/>
  <autoFilter ref="B4:I62" xr:uid="{00000000-0001-0000-0500-000000000000}"/>
  <mergeCells count="2">
    <mergeCell ref="A1:I2"/>
    <mergeCell ref="D6:G6"/>
  </mergeCells>
  <phoneticPr fontId="4" type="noConversion"/>
  <conditionalFormatting sqref="D8:G46">
    <cfRule type="cellIs" dxfId="0" priority="1" operator="greaterThan">
      <formula>0</formula>
    </cfRule>
  </conditionalFormatting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Teams</vt:lpstr>
      <vt:lpstr>2018 Score Calculator</vt:lpstr>
      <vt:lpstr>Robot Score Ranking</vt:lpstr>
      <vt:lpstr>Live Standings</vt:lpstr>
      <vt:lpstr>Elimination Round Brackets</vt:lpstr>
      <vt:lpstr>Team Database</vt:lpstr>
      <vt:lpstr>Live_Rank</vt:lpstr>
      <vt:lpstr>PerformanceData</vt:lpstr>
      <vt:lpstr>'Elimination Round Brackets'!Print_Area</vt:lpstr>
      <vt:lpstr>'Live Standings'!Print_Area</vt:lpstr>
      <vt:lpstr>TeamRawData</vt:lpstr>
      <vt:lpstr>'2018 Score Calculator'!Total_Score</vt:lpstr>
      <vt:lpstr>'2018 Score Calculator'!TrueFalseRange</vt:lpstr>
    </vt:vector>
  </TitlesOfParts>
  <Company>FIRST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Tetrault</dc:creator>
  <cp:lastModifiedBy>gvario</cp:lastModifiedBy>
  <cp:lastPrinted>2007-11-10T21:10:15Z</cp:lastPrinted>
  <dcterms:created xsi:type="dcterms:W3CDTF">2000-07-05T13:58:20Z</dcterms:created>
  <dcterms:modified xsi:type="dcterms:W3CDTF">2026-10-16T01:43:03Z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7edc1c9-378e-46d2-aabb-de5286b8cba1_Enabled">
    <vt:lpwstr>true</vt:lpwstr>
  </property>
  <property fmtid="{D5CDD505-2E9C-101B-9397-08002B2CF9AE}" pid="3" name="MSIP_Label_37edc1c9-378e-46d2-aabb-de5286b8cba1_SetDate">
    <vt:lpwstr>2025-11-17T18:44:39Z</vt:lpwstr>
  </property>
  <property fmtid="{D5CDD505-2E9C-101B-9397-08002B2CF9AE}" pid="4" name="MSIP_Label_37edc1c9-378e-46d2-aabb-de5286b8cba1_Method">
    <vt:lpwstr>Privileged</vt:lpwstr>
  </property>
  <property fmtid="{D5CDD505-2E9C-101B-9397-08002B2CF9AE}" pid="5" name="MSIP_Label_37edc1c9-378e-46d2-aabb-de5286b8cba1_Name">
    <vt:lpwstr>Public</vt:lpwstr>
  </property>
  <property fmtid="{D5CDD505-2E9C-101B-9397-08002B2CF9AE}" pid="6" name="MSIP_Label_37edc1c9-378e-46d2-aabb-de5286b8cba1_SiteId">
    <vt:lpwstr>6b1311e5-123f-49db-acdf-8847c2d00bed</vt:lpwstr>
  </property>
  <property fmtid="{D5CDD505-2E9C-101B-9397-08002B2CF9AE}" pid="7" name="MSIP_Label_37edc1c9-378e-46d2-aabb-de5286b8cba1_ActionId">
    <vt:lpwstr>d79755b4-414d-48b6-92f1-7688666bea44</vt:lpwstr>
  </property>
  <property fmtid="{D5CDD505-2E9C-101B-9397-08002B2CF9AE}" pid="8" name="MSIP_Label_37edc1c9-378e-46d2-aabb-de5286b8cba1_ContentBits">
    <vt:lpwstr>0</vt:lpwstr>
  </property>
  <property fmtid="{D5CDD505-2E9C-101B-9397-08002B2CF9AE}" pid="9" name="MSIP_Label_37edc1c9-378e-46d2-aabb-de5286b8cba1_Tag">
    <vt:lpwstr>10, 0, 1, 1</vt:lpwstr>
  </property>
</Properties>
</file>